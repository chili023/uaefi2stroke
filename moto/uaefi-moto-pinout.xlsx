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Signale" sheetId="2" state="visible" r:id="rId2"/>
    <sheet name="Prüfung" sheetId="3" state="visible" r:id="rId3"/>
    <sheet name="Stecker A" sheetId="4" state="visible" r:id="rId4"/>
    <sheet name="Stecker B" sheetId="5" state="visible" r:id="rId5"/>
    <sheet name="EGT" sheetId="6" state="visible" r:id="rId6"/>
  </sheets>
  <definedNames>
    <definedName name="_xlnm._FilterDatabase" localSheetId="1" hidden="1">'Signale'!$A$1:$M$85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0" fontId="6" fillId="3" borderId="1" pivotButton="0" quotePrefix="0" xfId="0"/>
    <xf numFmtId="2" fontId="6" fillId="3" borderId="1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6" fillId="3" borderId="0" pivotButton="0" quotePrefix="0" xfId="0"/>
    <xf numFmtId="2" fontId="6" fillId="3" borderId="0" pivotButton="0" quotePrefix="0" xfId="0"/>
    <xf numFmtId="0" fontId="4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Claude</author>
  </authors>
  <commentList>
    <comment ref="G1" authorId="0" shapeId="0">
      <text>
        <t>Hier eintragen: A, B, EGT oder leer lassen</t>
      </text>
    </comment>
    <comment ref="H1" authorId="0" shapeId="0">
      <text>
        <t>Pinnummer 1–34 (EGT: 1–8)</t>
      </text>
    </comment>
    <comment ref="L1" authorId="0" shapeId="0">
      <text>
        <t>Deine Kabelfarbe, z. B. rot/schwarz</t>
      </text>
    </comment>
    <comment ref="M1" authorId="0" shapeId="0">
      <text>
        <t>Vorschlag: Signale 0,5 mm², Leistung 0,75 mm². Superseal 1.0 Kontakte: 0,5 mm² (3-1447221-4) oder 0,75–1,25 mm² (3-1447221-3)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uaEFI moto – Signal- und Pinbelegung</t>
        </is>
      </c>
    </row>
    <row r="2">
      <c r="A2" s="2" t="inlineStr"/>
    </row>
    <row r="3">
      <c r="A3" s="3" t="inlineStr">
        <is>
          <t>So bearbeitest du die Belegung:</t>
        </is>
      </c>
    </row>
    <row r="4">
      <c r="A4" s="2" t="inlineStr">
        <is>
          <t>1. Im Blatt "Signale" nur die gelben Spalten ändern: Stecker (A, B, EGT oder leer), Pin, Kabelfarbe, Querschnitt.</t>
        </is>
      </c>
    </row>
    <row r="5">
      <c r="A5" s="2" t="inlineStr">
        <is>
          <t>2. Die Blätter "Stecker A", "Stecker B" und "EGT" zeigen automatisch, was auf jedem Pin liegt, inkl. freier und doppelt belegter Pins.</t>
        </is>
      </c>
    </row>
    <row r="6">
      <c r="A6" s="2" t="inlineStr">
        <is>
          <t>3. Das Blatt "Prüfung" zeigt je Gruppe, ob die Regeln eingehalten sind (rot = Problem).</t>
        </is>
      </c>
    </row>
    <row r="7">
      <c r="A7" s="2" t="inlineStr">
        <is>
          <t>4. Neue Signale: einfach unten im Blatt "Signale" eine Zeile anhängen (bis Zeile 150 wird alles ausgewertet).</t>
        </is>
      </c>
    </row>
    <row r="8">
      <c r="A8" s="2" t="inlineStr">
        <is>
          <t>5. Zum Verkabeln die Blätter "Stecker A", "Stecker B" und "EGT" ausdrucken: Pin, Signal, Kabelfarbe, Querschnitt in Pin-Reihenfolge.</t>
        </is>
      </c>
    </row>
    <row r="9">
      <c r="A9" s="2" t="inlineStr"/>
    </row>
    <row r="10">
      <c r="A10" s="3" t="inlineStr">
        <is>
          <t>Regeln:</t>
        </is>
      </c>
    </row>
    <row r="11">
      <c r="A11" s="2" t="inlineStr">
        <is>
          <t>• Eine Gruppe (z. B. Lambda 1, alle Einspritzdüsen, VR) liegt komplett auf einem Stecker.</t>
        </is>
      </c>
    </row>
    <row r="12">
      <c r="A12" s="2" t="inlineStr">
        <is>
          <t>• Versorgung 12V, 5V Sensorversorgung und Sensormasse müssen auf beiden Steckern A und B vorkommen.</t>
        </is>
      </c>
    </row>
    <row r="13">
      <c r="A13" s="2" t="inlineStr">
        <is>
          <t>• Masse (Leistungsmasse, USB-Masse, VR-Schirm) darf auf beiden liegen.</t>
        </is>
      </c>
    </row>
    <row r="14">
      <c r="A14" s="2" t="inlineStr">
        <is>
          <t>• Jeder Pin höchstens einmal. Stecker A und B haben je 34 Pins, der EGT-Block 8 (4 Buchsen × 2).</t>
        </is>
      </c>
    </row>
    <row r="15">
      <c r="A15" s="2" t="inlineStr"/>
    </row>
    <row r="16">
      <c r="A16" s="3" t="inlineStr">
        <is>
          <t>Stecker:</t>
        </is>
      </c>
    </row>
    <row r="17">
      <c r="A17" s="2" t="inlineStr">
        <is>
          <t>A = TE Superseal 1.0 Header 6437288-1 (Keying 1), Gegenstecker 4-1437290-0</t>
        </is>
      </c>
    </row>
    <row r="18">
      <c r="A18" s="2" t="inlineStr">
        <is>
          <t>B = TE Superseal 1.0 Header 6437288-2 (Keying 2), Gegenstecker 4-1437290-1</t>
        </is>
      </c>
    </row>
    <row r="19">
      <c r="A19" s="2" t="inlineStr">
        <is>
          <t>EGT = 4× Omega PCC-SMP-K Mini-Thermoelementbuchse Typ K</t>
        </is>
      </c>
    </row>
    <row r="20">
      <c r="A20" s="2" t="inlineStr">
        <is>
          <t>Kontakte: alle gleich 1,0 mm, bis 15 A laut TE-Katalog, Kabel 0,5–1,25 mm² (Kontakt 3-1447221-4 bzw. -3)</t>
        </is>
      </c>
    </row>
    <row r="21">
      <c r="A21" s="2" t="inlineStr"/>
    </row>
    <row r="22">
      <c r="A22" s="2" t="inlineStr">
        <is>
          <t>Quelle Netz/MCU: Netzliste des uaEFI-moto-Schaltplans (chili023/uaefi2stroke, Branch uaefi-moto).</t>
        </is>
      </c>
    </row>
    <row r="23">
      <c r="A23" s="2" t="inlineStr">
        <is>
          <t>Eingetragen: Stecker A = Basis (alles mit 1: INJ/IGN/GPPWM 1-2, TPS1, CLT, IAT, Hall 1, Lambda 1, USB, CAN), Stecker B = Rest. INJ/IGN 5-6 unbenutzt.</t>
        </is>
      </c>
    </row>
    <row r="24">
      <c r="A24" s="2" t="inlineStr">
        <is>
          <t>Strom max: Richtwerte (Einspritzdüse/GPPWM-Ausgang bis 3 A, LSU-4.9-Heizung kalt kurz bis 2 A).</t>
        </is>
      </c>
    </row>
    <row r="25">
      <c r="A25" s="2" t="inlineStr"/>
    </row>
    <row r="26">
      <c r="A26" s="3" t="inlineStr">
        <is>
          <t>Bestückung, die von der uaEFI abweicht:</t>
        </is>
      </c>
    </row>
    <row r="27">
      <c r="A27" s="2" t="inlineStr">
        <is>
          <t>• Radsensor 2 (B28, PA6): R39 = 4,7k Pull-up auf 5V bestücken, R36 (10k nach Masse) weglassen. Für Hall-Radsensoren; induktive Sensoren gehen dort nicht.</t>
        </is>
      </c>
    </row>
    <row r="28">
      <c r="A28" s="2" t="inlineStr">
        <is>
          <t>• Radsensor 1 (B20, PE14) hat den 4,7k Pull-up schon.</t>
        </is>
      </c>
    </row>
    <row r="29">
      <c r="A29" s="2" t="inlineStr">
        <is>
          <t>• Einspritzung/Zündung 5–6 sind auf der Platine vorhanden, aber nicht auf den Steckern.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18" customWidth="1" min="3" max="3"/>
    <col width="30" customWidth="1" min="4" max="4"/>
    <col width="18" customWidth="1" min="5" max="5"/>
    <col width="10" customWidth="1" min="6" max="6"/>
    <col width="9" customWidth="1" min="7" max="7"/>
    <col width="7" customWidth="1" min="8" max="8"/>
    <col width="40" customWidth="1" min="9" max="9"/>
    <col width="9" customWidth="1" min="10" max="10"/>
    <col width="13" customWidth="1" min="11" max="11"/>
    <col width="14" customWidth="1" min="12" max="12"/>
    <col width="12" customWidth="1" min="13" max="13"/>
  </cols>
  <sheetData>
    <row r="1">
      <c r="A1" s="4" t="inlineStr">
        <is>
          <t>Gruppe</t>
        </is>
      </c>
      <c r="B1" s="4" t="inlineStr">
        <is>
          <t>Signal</t>
        </is>
      </c>
      <c r="C1" s="4" t="inlineStr">
        <is>
          <t>Netz (Schaltplan)</t>
        </is>
      </c>
      <c r="D1" s="4" t="inlineStr">
        <is>
          <t>MCU / rusEFI</t>
        </is>
      </c>
      <c r="E1" s="4" t="inlineStr">
        <is>
          <t>Typ</t>
        </is>
      </c>
      <c r="F1" s="4" t="inlineStr">
        <is>
          <t>Strom max</t>
        </is>
      </c>
      <c r="G1" s="4" t="inlineStr">
        <is>
          <t>Stecker</t>
        </is>
      </c>
      <c r="H1" s="4" t="inlineStr">
        <is>
          <t>Pin</t>
        </is>
      </c>
      <c r="I1" s="4" t="inlineStr">
        <is>
          <t>Bemerkung</t>
        </is>
      </c>
      <c r="J1" s="4" t="inlineStr">
        <is>
          <t>Schlüssel</t>
        </is>
      </c>
      <c r="K1" s="4" t="inlineStr">
        <is>
          <t>Status</t>
        </is>
      </c>
      <c r="L1" s="4" t="inlineStr">
        <is>
          <t>Kabelfarbe</t>
        </is>
      </c>
      <c r="M1" s="4" t="inlineStr">
        <is>
          <t>Querschnitt mm²</t>
        </is>
      </c>
    </row>
    <row r="2">
      <c r="A2" s="5" t="inlineStr">
        <is>
          <t>Versorgung 12V</t>
        </is>
      </c>
      <c r="B2" s="5" t="inlineStr">
        <is>
          <t>+12V Batterie / ECU-Versorgung</t>
        </is>
      </c>
      <c r="C2" s="5" t="inlineStr">
        <is>
          <t>+12V</t>
        </is>
      </c>
      <c r="D2" s="5" t="inlineStr">
        <is>
          <t>-</t>
        </is>
      </c>
      <c r="E2" s="5" t="inlineStr">
        <is>
          <t>Versorgung</t>
        </is>
      </c>
      <c r="F2" s="5" t="inlineStr">
        <is>
          <t>2 A</t>
        </is>
      </c>
      <c r="G2" s="6" t="inlineStr">
        <is>
          <t>A</t>
        </is>
      </c>
      <c r="H2" s="6" t="n">
        <v>1</v>
      </c>
      <c r="I2" s="5" t="inlineStr">
        <is>
          <t>über F2 auf +12V_RAW</t>
        </is>
      </c>
      <c r="J2" s="5">
        <f>IF(OR(G2="",H2=""),"",G2&amp;"-"&amp;H2)</f>
        <v/>
      </c>
      <c r="K2" s="5">
        <f>IF(A2="","",IF(J2="","nicht belegt",IF(COUNTIF($J$2:$J$150,J2)&gt;1,"DOPPELT",IF(OR(H2&lt;1,H2&gt;IF(G2="EGT",8,34)),"Pin ungültig","ok"))))</f>
        <v/>
      </c>
      <c r="L2" s="7" t="n"/>
      <c r="M2" s="8" t="n">
        <v>0.75</v>
      </c>
    </row>
    <row r="3">
      <c r="A3" s="5" t="inlineStr">
        <is>
          <t>Versorgung 12V</t>
        </is>
      </c>
      <c r="B3" s="5" t="inlineStr">
        <is>
          <t>Zündung (Schlüssel)</t>
        </is>
      </c>
      <c r="C3" s="5" t="inlineStr">
        <is>
          <t>/12V_KEY</t>
        </is>
      </c>
      <c r="D3" s="5" t="inlineStr">
        <is>
          <t>MM100_IN_VBATT (PA5 über Teiler)</t>
        </is>
      </c>
      <c r="E3" s="5" t="inlineStr">
        <is>
          <t>Eingang</t>
        </is>
      </c>
      <c r="F3" s="5" t="inlineStr">
        <is>
          <t>0,1 A</t>
        </is>
      </c>
      <c r="G3" s="6" t="inlineStr">
        <is>
          <t>A</t>
        </is>
      </c>
      <c r="H3" s="6" t="n">
        <v>2</v>
      </c>
      <c r="I3" s="5" t="inlineStr">
        <is>
          <t>ohne Main-Relais identisch mit +12V</t>
        </is>
      </c>
      <c r="J3" s="5">
        <f>IF(OR(G3="",H3=""),"",G3&amp;"-"&amp;H3)</f>
        <v/>
      </c>
      <c r="K3" s="5">
        <f>IF(A3="","",IF(J3="","nicht belegt",IF(COUNTIF($J$2:$J$150,J3)&gt;1,"DOPPELT",IF(OR(H3&lt;1,H3&gt;IF(G3="EGT",8,34)),"Pin ungültig","ok"))))</f>
        <v/>
      </c>
      <c r="L3" s="7" t="n"/>
      <c r="M3" s="8" t="n">
        <v>0.5</v>
      </c>
    </row>
    <row r="4">
      <c r="A4" s="5" t="inlineStr">
        <is>
          <t>Versorgung 12V</t>
        </is>
      </c>
      <c r="B4" s="5" t="inlineStr">
        <is>
          <t>+12V Hallsensoren (A)</t>
        </is>
      </c>
      <c r="C4" s="5" t="inlineStr">
        <is>
          <t>/12V_HALL</t>
        </is>
      </c>
      <c r="D4" s="5" t="inlineStr">
        <is>
          <t>-</t>
        </is>
      </c>
      <c r="E4" s="5" t="inlineStr">
        <is>
          <t>Versorgung</t>
        </is>
      </c>
      <c r="F4" s="5" t="inlineStr">
        <is>
          <t>0,2 A</t>
        </is>
      </c>
      <c r="G4" s="6" t="inlineStr">
        <is>
          <t>A</t>
        </is>
      </c>
      <c r="H4" s="6" t="n">
        <v>3</v>
      </c>
      <c r="I4" s="5" t="inlineStr">
        <is>
          <t>PTC F11 200 mA, gleiches Netz wie B1</t>
        </is>
      </c>
      <c r="J4" s="5">
        <f>IF(OR(G4="",H4=""),"",G4&amp;"-"&amp;H4)</f>
        <v/>
      </c>
      <c r="K4" s="5">
        <f>IF(A4="","",IF(J4="","nicht belegt",IF(COUNTIF($J$2:$J$150,J4)&gt;1,"DOPPELT",IF(OR(H4&lt;1,H4&gt;IF(G4="EGT",8,34)),"Pin ungültig","ok"))))</f>
        <v/>
      </c>
      <c r="L4" s="7" t="n"/>
      <c r="M4" s="8" t="n">
        <v>0.75</v>
      </c>
    </row>
    <row r="5">
      <c r="A5" s="5" t="inlineStr">
        <is>
          <t>5V Sensorversorgung</t>
        </is>
      </c>
      <c r="B5" s="5" t="inlineStr">
        <is>
          <t>+5V Sensor (A1)</t>
        </is>
      </c>
      <c r="C5" s="5" t="inlineStr">
        <is>
          <t>+5VP</t>
        </is>
      </c>
      <c r="D5" s="5" t="inlineStr">
        <is>
          <t>-</t>
        </is>
      </c>
      <c r="E5" s="5" t="inlineStr">
        <is>
          <t>Versorgung</t>
        </is>
      </c>
      <c r="F5" s="5" t="inlineStr">
        <is>
          <t>0,1 A</t>
        </is>
      </c>
      <c r="G5" s="6" t="inlineStr">
        <is>
          <t>A</t>
        </is>
      </c>
      <c r="H5" s="6" t="n">
        <v>4</v>
      </c>
      <c r="I5" s="5" t="inlineStr">
        <is>
          <t>geschützte 5V</t>
        </is>
      </c>
      <c r="J5" s="5">
        <f>IF(OR(G5="",H5=""),"",G5&amp;"-"&amp;H5)</f>
        <v/>
      </c>
      <c r="K5" s="5">
        <f>IF(A5="","",IF(J5="","nicht belegt",IF(COUNTIF($J$2:$J$150,J5)&gt;1,"DOPPELT",IF(OR(H5&lt;1,H5&gt;IF(G5="EGT",8,34)),"Pin ungültig","ok"))))</f>
        <v/>
      </c>
      <c r="L5" s="7" t="n"/>
      <c r="M5" s="8" t="n">
        <v>0.5</v>
      </c>
    </row>
    <row r="6">
      <c r="A6" s="5" t="inlineStr">
        <is>
          <t>5V Sensorversorgung</t>
        </is>
      </c>
      <c r="B6" s="5" t="inlineStr">
        <is>
          <t>+5V Sensor (A2)</t>
        </is>
      </c>
      <c r="C6" s="5" t="inlineStr">
        <is>
          <t>+5VP</t>
        </is>
      </c>
      <c r="D6" s="5" t="inlineStr">
        <is>
          <t>-</t>
        </is>
      </c>
      <c r="E6" s="5" t="inlineStr">
        <is>
          <t>Versorgung</t>
        </is>
      </c>
      <c r="F6" s="5" t="inlineStr">
        <is>
          <t>0,1 A</t>
        </is>
      </c>
      <c r="G6" s="6" t="inlineStr">
        <is>
          <t>A</t>
        </is>
      </c>
      <c r="H6" s="6" t="n">
        <v>5</v>
      </c>
      <c r="I6" s="5" t="inlineStr"/>
      <c r="J6" s="5">
        <f>IF(OR(G6="",H6=""),"",G6&amp;"-"&amp;H6)</f>
        <v/>
      </c>
      <c r="K6" s="5">
        <f>IF(A6="","",IF(J6="","nicht belegt",IF(COUNTIF($J$2:$J$150,J6)&gt;1,"DOPPELT",IF(OR(H6&lt;1,H6&gt;IF(G6="EGT",8,34)),"Pin ungültig","ok"))))</f>
        <v/>
      </c>
      <c r="L6" s="7" t="n"/>
      <c r="M6" s="8" t="n">
        <v>0.5</v>
      </c>
    </row>
    <row r="7">
      <c r="A7" s="5" t="inlineStr">
        <is>
          <t>Sensormasse</t>
        </is>
      </c>
      <c r="B7" s="5" t="inlineStr">
        <is>
          <t>Sensormasse (A1)</t>
        </is>
      </c>
      <c r="C7" s="5" t="inlineStr">
        <is>
          <t>GNDA</t>
        </is>
      </c>
      <c r="D7" s="5" t="inlineStr">
        <is>
          <t>-</t>
        </is>
      </c>
      <c r="E7" s="5" t="inlineStr">
        <is>
          <t>Masse</t>
        </is>
      </c>
      <c r="F7" s="5" t="inlineStr">
        <is>
          <t>0,1 A</t>
        </is>
      </c>
      <c r="G7" s="6" t="inlineStr">
        <is>
          <t>A</t>
        </is>
      </c>
      <c r="H7" s="6" t="n">
        <v>6</v>
      </c>
      <c r="I7" s="5" t="inlineStr"/>
      <c r="J7" s="5">
        <f>IF(OR(G7="",H7=""),"",G7&amp;"-"&amp;H7)</f>
        <v/>
      </c>
      <c r="K7" s="5">
        <f>IF(A7="","",IF(J7="","nicht belegt",IF(COUNTIF($J$2:$J$150,J7)&gt;1,"DOPPELT",IF(OR(H7&lt;1,H7&gt;IF(G7="EGT",8,34)),"Pin ungültig","ok"))))</f>
        <v/>
      </c>
      <c r="L7" s="7" t="n"/>
      <c r="M7" s="8" t="n">
        <v>0.5</v>
      </c>
    </row>
    <row r="8">
      <c r="A8" s="5" t="inlineStr">
        <is>
          <t>Sensormasse</t>
        </is>
      </c>
      <c r="B8" s="5" t="inlineStr">
        <is>
          <t>Sensormasse (A2)</t>
        </is>
      </c>
      <c r="C8" s="5" t="inlineStr">
        <is>
          <t>GNDA</t>
        </is>
      </c>
      <c r="D8" s="5" t="inlineStr">
        <is>
          <t>-</t>
        </is>
      </c>
      <c r="E8" s="5" t="inlineStr">
        <is>
          <t>Masse</t>
        </is>
      </c>
      <c r="F8" s="5" t="inlineStr">
        <is>
          <t>0,1 A</t>
        </is>
      </c>
      <c r="G8" s="6" t="inlineStr">
        <is>
          <t>A</t>
        </is>
      </c>
      <c r="H8" s="6" t="n">
        <v>7</v>
      </c>
      <c r="I8" s="5" t="inlineStr"/>
      <c r="J8" s="5">
        <f>IF(OR(G8="",H8=""),"",G8&amp;"-"&amp;H8)</f>
        <v/>
      </c>
      <c r="K8" s="5">
        <f>IF(A8="","",IF(J8="","nicht belegt",IF(COUNTIF($J$2:$J$150,J8)&gt;1,"DOPPELT",IF(OR(H8&lt;1,H8&gt;IF(G8="EGT",8,34)),"Pin ungültig","ok"))))</f>
        <v/>
      </c>
      <c r="L8" s="7" t="n"/>
      <c r="M8" s="8" t="n">
        <v>0.5</v>
      </c>
    </row>
    <row r="9">
      <c r="A9" s="5" t="inlineStr">
        <is>
          <t>Masse</t>
        </is>
      </c>
      <c r="B9" s="5" t="inlineStr">
        <is>
          <t>Leistungsmasse (A1)</t>
        </is>
      </c>
      <c r="C9" s="5" t="inlineStr">
        <is>
          <t>GND</t>
        </is>
      </c>
      <c r="D9" s="5" t="inlineStr">
        <is>
          <t>-</t>
        </is>
      </c>
      <c r="E9" s="5" t="inlineStr">
        <is>
          <t>Masse</t>
        </is>
      </c>
      <c r="F9" s="5" t="inlineStr">
        <is>
          <t>10 A</t>
        </is>
      </c>
      <c r="G9" s="6" t="inlineStr">
        <is>
          <t>A</t>
        </is>
      </c>
      <c r="H9" s="6" t="n">
        <v>8</v>
      </c>
      <c r="I9" s="5" t="inlineStr"/>
      <c r="J9" s="5">
        <f>IF(OR(G9="",H9=""),"",G9&amp;"-"&amp;H9)</f>
        <v/>
      </c>
      <c r="K9" s="5">
        <f>IF(A9="","",IF(J9="","nicht belegt",IF(COUNTIF($J$2:$J$150,J9)&gt;1,"DOPPELT",IF(OR(H9&lt;1,H9&gt;IF(G9="EGT",8,34)),"Pin ungültig","ok"))))</f>
        <v/>
      </c>
      <c r="L9" s="7" t="n"/>
      <c r="M9" s="8" t="n">
        <v>0.75</v>
      </c>
    </row>
    <row r="10">
      <c r="A10" s="5" t="inlineStr">
        <is>
          <t>Masse</t>
        </is>
      </c>
      <c r="B10" s="5" t="inlineStr">
        <is>
          <t>Leistungsmasse (A2)</t>
        </is>
      </c>
      <c r="C10" s="5" t="inlineStr">
        <is>
          <t>GND</t>
        </is>
      </c>
      <c r="D10" s="5" t="inlineStr">
        <is>
          <t>-</t>
        </is>
      </c>
      <c r="E10" s="5" t="inlineStr">
        <is>
          <t>Masse</t>
        </is>
      </c>
      <c r="F10" s="5" t="inlineStr">
        <is>
          <t>10 A</t>
        </is>
      </c>
      <c r="G10" s="6" t="inlineStr">
        <is>
          <t>A</t>
        </is>
      </c>
      <c r="H10" s="6" t="n">
        <v>9</v>
      </c>
      <c r="I10" s="5" t="inlineStr"/>
      <c r="J10" s="5">
        <f>IF(OR(G10="",H10=""),"",G10&amp;"-"&amp;H10)</f>
        <v/>
      </c>
      <c r="K10" s="5">
        <f>IF(A10="","",IF(J10="","nicht belegt",IF(COUNTIF($J$2:$J$150,J10)&gt;1,"DOPPELT",IF(OR(H10&lt;1,H10&gt;IF(G10="EGT",8,34)),"Pin ungültig","ok"))))</f>
        <v/>
      </c>
      <c r="L10" s="7" t="n"/>
      <c r="M10" s="8" t="n">
        <v>0.75</v>
      </c>
    </row>
    <row r="11">
      <c r="A11" s="5" t="inlineStr">
        <is>
          <t>Masse</t>
        </is>
      </c>
      <c r="B11" s="5" t="inlineStr">
        <is>
          <t>Leistungsmasse (A3)</t>
        </is>
      </c>
      <c r="C11" s="5" t="inlineStr">
        <is>
          <t>GND</t>
        </is>
      </c>
      <c r="D11" s="5" t="inlineStr">
        <is>
          <t>-</t>
        </is>
      </c>
      <c r="E11" s="5" t="inlineStr">
        <is>
          <t>Masse</t>
        </is>
      </c>
      <c r="F11" s="5" t="inlineStr">
        <is>
          <t>10 A</t>
        </is>
      </c>
      <c r="G11" s="6" t="inlineStr">
        <is>
          <t>A</t>
        </is>
      </c>
      <c r="H11" s="6" t="n">
        <v>10</v>
      </c>
      <c r="I11" s="5" t="inlineStr"/>
      <c r="J11" s="5">
        <f>IF(OR(G11="",H11=""),"",G11&amp;"-"&amp;H11)</f>
        <v/>
      </c>
      <c r="K11" s="5">
        <f>IF(A11="","",IF(J11="","nicht belegt",IF(COUNTIF($J$2:$J$150,J11)&gt;1,"DOPPELT",IF(OR(H11&lt;1,H11&gt;IF(G11="EGT",8,34)),"Pin ungültig","ok"))))</f>
        <v/>
      </c>
      <c r="L11" s="7" t="n"/>
      <c r="M11" s="8" t="n">
        <v>0.75</v>
      </c>
    </row>
    <row r="12">
      <c r="A12" s="5" t="inlineStr">
        <is>
          <t>Einspritzung 1-2</t>
        </is>
      </c>
      <c r="B12" s="5" t="inlineStr">
        <is>
          <t>Einspritzdüse 1</t>
        </is>
      </c>
      <c r="C12" s="5" t="inlineStr">
        <is>
          <t>/OUT_INJ1</t>
        </is>
      </c>
      <c r="D12" s="5" t="inlineStr">
        <is>
          <t>MM100_INJ1 (PD3)</t>
        </is>
      </c>
      <c r="E12" s="5" t="inlineStr">
        <is>
          <t>Low-Side</t>
        </is>
      </c>
      <c r="F12" s="5" t="inlineStr">
        <is>
          <t>3 A</t>
        </is>
      </c>
      <c r="G12" s="6" t="inlineStr">
        <is>
          <t>A</t>
        </is>
      </c>
      <c r="H12" s="6" t="n">
        <v>11</v>
      </c>
      <c r="I12" s="5" t="inlineStr"/>
      <c r="J12" s="5">
        <f>IF(OR(G12="",H12=""),"",G12&amp;"-"&amp;H12)</f>
        <v/>
      </c>
      <c r="K12" s="5">
        <f>IF(A12="","",IF(J12="","nicht belegt",IF(COUNTIF($J$2:$J$150,J12)&gt;1,"DOPPELT",IF(OR(H12&lt;1,H12&gt;IF(G12="EGT",8,34)),"Pin ungültig","ok"))))</f>
        <v/>
      </c>
      <c r="L12" s="7" t="n"/>
      <c r="M12" s="8" t="n">
        <v>0.75</v>
      </c>
    </row>
    <row r="13">
      <c r="A13" s="5" t="inlineStr">
        <is>
          <t>Einspritzung 1-2</t>
        </is>
      </c>
      <c r="B13" s="5" t="inlineStr">
        <is>
          <t>Einspritzdüse 2</t>
        </is>
      </c>
      <c r="C13" s="5" t="inlineStr">
        <is>
          <t>/OUT_INJ2</t>
        </is>
      </c>
      <c r="D13" s="5" t="inlineStr">
        <is>
          <t>MM100_INJ2 (PA9)</t>
        </is>
      </c>
      <c r="E13" s="5" t="inlineStr">
        <is>
          <t>Low-Side</t>
        </is>
      </c>
      <c r="F13" s="5" t="inlineStr">
        <is>
          <t>3 A</t>
        </is>
      </c>
      <c r="G13" s="6" t="inlineStr">
        <is>
          <t>A</t>
        </is>
      </c>
      <c r="H13" s="6" t="n">
        <v>12</v>
      </c>
      <c r="I13" s="5" t="inlineStr"/>
      <c r="J13" s="5">
        <f>IF(OR(G13="",H13=""),"",G13&amp;"-"&amp;H13)</f>
        <v/>
      </c>
      <c r="K13" s="5">
        <f>IF(A13="","",IF(J13="","nicht belegt",IF(COUNTIF($J$2:$J$150,J13)&gt;1,"DOPPELT",IF(OR(H13&lt;1,H13&gt;IF(G13="EGT",8,34)),"Pin ungültig","ok"))))</f>
        <v/>
      </c>
      <c r="L13" s="7" t="n"/>
      <c r="M13" s="8" t="n">
        <v>0.75</v>
      </c>
    </row>
    <row r="14">
      <c r="A14" s="5" t="inlineStr">
        <is>
          <t>Einspritzung 3-4</t>
        </is>
      </c>
      <c r="B14" s="5" t="inlineStr">
        <is>
          <t>Einspritzdüse 3</t>
        </is>
      </c>
      <c r="C14" s="5" t="inlineStr">
        <is>
          <t>/OUT_INJ3</t>
        </is>
      </c>
      <c r="D14" s="5" t="inlineStr">
        <is>
          <t>MM100_INJ3 (PD11)</t>
        </is>
      </c>
      <c r="E14" s="5" t="inlineStr">
        <is>
          <t>Low-Side</t>
        </is>
      </c>
      <c r="F14" s="5" t="inlineStr">
        <is>
          <t>3 A</t>
        </is>
      </c>
      <c r="G14" s="6" t="inlineStr">
        <is>
          <t>B</t>
        </is>
      </c>
      <c r="H14" s="6" t="n">
        <v>5</v>
      </c>
      <c r="I14" s="5" t="inlineStr"/>
      <c r="J14" s="5">
        <f>IF(OR(G14="",H14=""),"",G14&amp;"-"&amp;H14)</f>
        <v/>
      </c>
      <c r="K14" s="5">
        <f>IF(A14="","",IF(J14="","nicht belegt",IF(COUNTIF($J$2:$J$150,J14)&gt;1,"DOPPELT",IF(OR(H14&lt;1,H14&gt;IF(G14="EGT",8,34)),"Pin ungültig","ok"))))</f>
        <v/>
      </c>
      <c r="L14" s="7" t="n"/>
      <c r="M14" s="8" t="n">
        <v>0.75</v>
      </c>
    </row>
    <row r="15">
      <c r="A15" s="5" t="inlineStr">
        <is>
          <t>Einspritzung 3-4</t>
        </is>
      </c>
      <c r="B15" s="5" t="inlineStr">
        <is>
          <t>Einspritzdüse 4</t>
        </is>
      </c>
      <c r="C15" s="5" t="inlineStr">
        <is>
          <t>/OUT_INJ4</t>
        </is>
      </c>
      <c r="D15" s="5" t="inlineStr">
        <is>
          <t>MM100_INJ4 (PD10)</t>
        </is>
      </c>
      <c r="E15" s="5" t="inlineStr">
        <is>
          <t>Low-Side</t>
        </is>
      </c>
      <c r="F15" s="5" t="inlineStr">
        <is>
          <t>3 A</t>
        </is>
      </c>
      <c r="G15" s="6" t="inlineStr">
        <is>
          <t>B</t>
        </is>
      </c>
      <c r="H15" s="6" t="n">
        <v>6</v>
      </c>
      <c r="I15" s="5" t="inlineStr"/>
      <c r="J15" s="5">
        <f>IF(OR(G15="",H15=""),"",G15&amp;"-"&amp;H15)</f>
        <v/>
      </c>
      <c r="K15" s="5">
        <f>IF(A15="","",IF(J15="","nicht belegt",IF(COUNTIF($J$2:$J$150,J15)&gt;1,"DOPPELT",IF(OR(H15&lt;1,H15&gt;IF(G15="EGT",8,34)),"Pin ungültig","ok"))))</f>
        <v/>
      </c>
      <c r="L15" s="7" t="n"/>
      <c r="M15" s="8" t="n">
        <v>0.75</v>
      </c>
    </row>
    <row r="16">
      <c r="A16" s="5" t="inlineStr">
        <is>
          <t>Einspritzung 5-6 (unbenutzt)</t>
        </is>
      </c>
      <c r="B16" s="5" t="inlineStr">
        <is>
          <t>Einspritzdüse 5</t>
        </is>
      </c>
      <c r="C16" s="5" t="inlineStr">
        <is>
          <t>/OUT_INJ5</t>
        </is>
      </c>
      <c r="D16" s="5" t="inlineStr">
        <is>
          <t>MM100_INJ5 (PD2)</t>
        </is>
      </c>
      <c r="E16" s="5" t="inlineStr">
        <is>
          <t>Low-Side</t>
        </is>
      </c>
      <c r="F16" s="5" t="inlineStr">
        <is>
          <t>3 A</t>
        </is>
      </c>
      <c r="G16" s="6" t="n"/>
      <c r="H16" s="6" t="n"/>
      <c r="I16" s="5" t="inlineStr"/>
      <c r="J16" s="5">
        <f>IF(OR(G16="",H16=""),"",G16&amp;"-"&amp;H16)</f>
        <v/>
      </c>
      <c r="K16" s="5">
        <f>IF(A16="","",IF(J16="","nicht belegt",IF(COUNTIF($J$2:$J$150,J16)&gt;1,"DOPPELT",IF(OR(H16&lt;1,H16&gt;IF(G16="EGT",8,34)),"Pin ungültig","ok"))))</f>
        <v/>
      </c>
      <c r="L16" s="7" t="n"/>
      <c r="M16" s="8" t="n"/>
    </row>
    <row r="17">
      <c r="A17" s="5" t="inlineStr">
        <is>
          <t>Einspritzung 5-6 (unbenutzt)</t>
        </is>
      </c>
      <c r="B17" s="5" t="inlineStr">
        <is>
          <t>Einspritzdüse 6</t>
        </is>
      </c>
      <c r="C17" s="5" t="inlineStr">
        <is>
          <t>/OUT_INJ6</t>
        </is>
      </c>
      <c r="D17" s="5" t="inlineStr">
        <is>
          <t>MM100_INJ6 (PA8)</t>
        </is>
      </c>
      <c r="E17" s="5" t="inlineStr">
        <is>
          <t>Low-Side</t>
        </is>
      </c>
      <c r="F17" s="5" t="inlineStr">
        <is>
          <t>3 A</t>
        </is>
      </c>
      <c r="G17" s="6" t="n"/>
      <c r="H17" s="6" t="n"/>
      <c r="I17" s="5" t="inlineStr"/>
      <c r="J17" s="5">
        <f>IF(OR(G17="",H17=""),"",G17&amp;"-"&amp;H17)</f>
        <v/>
      </c>
      <c r="K17" s="5">
        <f>IF(A17="","",IF(J17="","nicht belegt",IF(COUNTIF($J$2:$J$150,J17)&gt;1,"DOPPELT",IF(OR(H17&lt;1,H17&gt;IF(G17="EGT",8,34)),"Pin ungültig","ok"))))</f>
        <v/>
      </c>
      <c r="L17" s="7" t="n"/>
      <c r="M17" s="8" t="n"/>
    </row>
    <row r="18">
      <c r="A18" s="5" t="inlineStr">
        <is>
          <t>Zündung 1-2</t>
        </is>
      </c>
      <c r="B18" s="5" t="inlineStr">
        <is>
          <t>Zündspule 1</t>
        </is>
      </c>
      <c r="C18" s="5" t="inlineStr">
        <is>
          <t>/OUT_IGN1</t>
        </is>
      </c>
      <c r="D18" s="5" t="inlineStr">
        <is>
          <t>MM100_IGN1 (PC13)</t>
        </is>
      </c>
      <c r="E18" s="5" t="inlineStr">
        <is>
          <t>Logik 5V</t>
        </is>
      </c>
      <c r="F18" s="5" t="inlineStr">
        <is>
          <t>0,02 A</t>
        </is>
      </c>
      <c r="G18" s="6" t="inlineStr">
        <is>
          <t>A</t>
        </is>
      </c>
      <c r="H18" s="6" t="n">
        <v>13</v>
      </c>
      <c r="I18" s="5" t="inlineStr">
        <is>
          <t>für Spulen mit eingebauter Endstufe</t>
        </is>
      </c>
      <c r="J18" s="5">
        <f>IF(OR(G18="",H18=""),"",G18&amp;"-"&amp;H18)</f>
        <v/>
      </c>
      <c r="K18" s="5">
        <f>IF(A18="","",IF(J18="","nicht belegt",IF(COUNTIF($J$2:$J$150,J18)&gt;1,"DOPPELT",IF(OR(H18&lt;1,H18&gt;IF(G18="EGT",8,34)),"Pin ungültig","ok"))))</f>
        <v/>
      </c>
      <c r="L18" s="7" t="n"/>
      <c r="M18" s="8" t="n">
        <v>0.5</v>
      </c>
    </row>
    <row r="19">
      <c r="A19" s="5" t="inlineStr">
        <is>
          <t>Zündung 1-2</t>
        </is>
      </c>
      <c r="B19" s="5" t="inlineStr">
        <is>
          <t>Zündspule 2</t>
        </is>
      </c>
      <c r="C19" s="5" t="inlineStr">
        <is>
          <t>/OUT_IGN2</t>
        </is>
      </c>
      <c r="D19" s="5" t="inlineStr">
        <is>
          <t>MM100_IGN2 (PE5)</t>
        </is>
      </c>
      <c r="E19" s="5" t="inlineStr">
        <is>
          <t>Logik 5V</t>
        </is>
      </c>
      <c r="F19" s="5" t="inlineStr">
        <is>
          <t>0,02 A</t>
        </is>
      </c>
      <c r="G19" s="6" t="inlineStr">
        <is>
          <t>A</t>
        </is>
      </c>
      <c r="H19" s="6" t="n">
        <v>14</v>
      </c>
      <c r="I19" s="5" t="inlineStr">
        <is>
          <t>für Spulen mit eingebauter Endstufe</t>
        </is>
      </c>
      <c r="J19" s="5">
        <f>IF(OR(G19="",H19=""),"",G19&amp;"-"&amp;H19)</f>
        <v/>
      </c>
      <c r="K19" s="5">
        <f>IF(A19="","",IF(J19="","nicht belegt",IF(COUNTIF($J$2:$J$150,J19)&gt;1,"DOPPELT",IF(OR(H19&lt;1,H19&gt;IF(G19="EGT",8,34)),"Pin ungültig","ok"))))</f>
        <v/>
      </c>
      <c r="L19" s="7" t="n"/>
      <c r="M19" s="8" t="n">
        <v>0.5</v>
      </c>
    </row>
    <row r="20">
      <c r="A20" s="5" t="inlineStr">
        <is>
          <t>Zündung 3-4</t>
        </is>
      </c>
      <c r="B20" s="5" t="inlineStr">
        <is>
          <t>Zündspule 3</t>
        </is>
      </c>
      <c r="C20" s="5" t="inlineStr">
        <is>
          <t>/OUT_IGN3</t>
        </is>
      </c>
      <c r="D20" s="5" t="inlineStr">
        <is>
          <t>MM100_IGN3 (PE4)</t>
        </is>
      </c>
      <c r="E20" s="5" t="inlineStr">
        <is>
          <t>Logik 5V</t>
        </is>
      </c>
      <c r="F20" s="5" t="inlineStr">
        <is>
          <t>0,02 A</t>
        </is>
      </c>
      <c r="G20" s="6" t="inlineStr">
        <is>
          <t>B</t>
        </is>
      </c>
      <c r="H20" s="6" t="n">
        <v>7</v>
      </c>
      <c r="I20" s="5" t="inlineStr">
        <is>
          <t>für Spulen mit eingebauter Endstufe</t>
        </is>
      </c>
      <c r="J20" s="5">
        <f>IF(OR(G20="",H20=""),"",G20&amp;"-"&amp;H20)</f>
        <v/>
      </c>
      <c r="K20" s="5">
        <f>IF(A20="","",IF(J20="","nicht belegt",IF(COUNTIF($J$2:$J$150,J20)&gt;1,"DOPPELT",IF(OR(H20&lt;1,H20&gt;IF(G20="EGT",8,34)),"Pin ungültig","ok"))))</f>
        <v/>
      </c>
      <c r="L20" s="7" t="n"/>
      <c r="M20" s="8" t="n">
        <v>0.5</v>
      </c>
    </row>
    <row r="21">
      <c r="A21" s="5" t="inlineStr">
        <is>
          <t>Zündung 3-4</t>
        </is>
      </c>
      <c r="B21" s="5" t="inlineStr">
        <is>
          <t>Zündspule 4</t>
        </is>
      </c>
      <c r="C21" s="5" t="inlineStr">
        <is>
          <t>/OUT_IGN4</t>
        </is>
      </c>
      <c r="D21" s="5" t="inlineStr">
        <is>
          <t>MM100_IGN4 (PE3)</t>
        </is>
      </c>
      <c r="E21" s="5" t="inlineStr">
        <is>
          <t>Logik 5V</t>
        </is>
      </c>
      <c r="F21" s="5" t="inlineStr">
        <is>
          <t>0,02 A</t>
        </is>
      </c>
      <c r="G21" s="6" t="inlineStr">
        <is>
          <t>B</t>
        </is>
      </c>
      <c r="H21" s="6" t="n">
        <v>8</v>
      </c>
      <c r="I21" s="5" t="inlineStr">
        <is>
          <t>für Spulen mit eingebauter Endstufe</t>
        </is>
      </c>
      <c r="J21" s="5">
        <f>IF(OR(G21="",H21=""),"",G21&amp;"-"&amp;H21)</f>
        <v/>
      </c>
      <c r="K21" s="5">
        <f>IF(A21="","",IF(J21="","nicht belegt",IF(COUNTIF($J$2:$J$150,J21)&gt;1,"DOPPELT",IF(OR(H21&lt;1,H21&gt;IF(G21="EGT",8,34)),"Pin ungültig","ok"))))</f>
        <v/>
      </c>
      <c r="L21" s="7" t="n"/>
      <c r="M21" s="8" t="n">
        <v>0.5</v>
      </c>
    </row>
    <row r="22">
      <c r="A22" s="5" t="inlineStr">
        <is>
          <t>Zündung 5-6 (unbenutzt)</t>
        </is>
      </c>
      <c r="B22" s="5" t="inlineStr">
        <is>
          <t>Zündspule 5</t>
        </is>
      </c>
      <c r="C22" s="5" t="inlineStr">
        <is>
          <t>/OUT_IGN5</t>
        </is>
      </c>
      <c r="D22" s="5" t="inlineStr">
        <is>
          <t>MM100_IGN5 (PE2)</t>
        </is>
      </c>
      <c r="E22" s="5" t="inlineStr">
        <is>
          <t>Logik 5V</t>
        </is>
      </c>
      <c r="F22" s="5" t="inlineStr">
        <is>
          <t>0,02 A</t>
        </is>
      </c>
      <c r="G22" s="6" t="n"/>
      <c r="H22" s="6" t="n"/>
      <c r="I22" s="5" t="inlineStr">
        <is>
          <t>für Spulen mit eingebauter Endstufe</t>
        </is>
      </c>
      <c r="J22" s="5">
        <f>IF(OR(G22="",H22=""),"",G22&amp;"-"&amp;H22)</f>
        <v/>
      </c>
      <c r="K22" s="5">
        <f>IF(A22="","",IF(J22="","nicht belegt",IF(COUNTIF($J$2:$J$150,J22)&gt;1,"DOPPELT",IF(OR(H22&lt;1,H22&gt;IF(G22="EGT",8,34)),"Pin ungültig","ok"))))</f>
        <v/>
      </c>
      <c r="L22" s="7" t="n"/>
      <c r="M22" s="8" t="n"/>
    </row>
    <row r="23">
      <c r="A23" s="5" t="inlineStr">
        <is>
          <t>Zündung 5-6 (unbenutzt)</t>
        </is>
      </c>
      <c r="B23" s="5" t="inlineStr">
        <is>
          <t>Zündspule 6</t>
        </is>
      </c>
      <c r="C23" s="5" t="inlineStr">
        <is>
          <t>/OUT_IGN6</t>
        </is>
      </c>
      <c r="D23" s="5" t="inlineStr">
        <is>
          <t>MM100_IGN6 (PB8)</t>
        </is>
      </c>
      <c r="E23" s="5" t="inlineStr">
        <is>
          <t>Logik 5V</t>
        </is>
      </c>
      <c r="F23" s="5" t="inlineStr">
        <is>
          <t>0,02 A</t>
        </is>
      </c>
      <c r="G23" s="6" t="n"/>
      <c r="H23" s="6" t="n"/>
      <c r="I23" s="5" t="inlineStr">
        <is>
          <t>für Spulen mit eingebauter Endstufe</t>
        </is>
      </c>
      <c r="J23" s="5">
        <f>IF(OR(G23="",H23=""),"",G23&amp;"-"&amp;H23)</f>
        <v/>
      </c>
      <c r="K23" s="5">
        <f>IF(A23="","",IF(J23="","nicht belegt",IF(COUNTIF($J$2:$J$150,J23)&gt;1,"DOPPELT",IF(OR(H23&lt;1,H23&gt;IF(G23="EGT",8,34)),"Pin ungültig","ok"))))</f>
        <v/>
      </c>
      <c r="L23" s="7" t="n"/>
      <c r="M23" s="8" t="n"/>
    </row>
    <row r="24">
      <c r="A24" s="5" t="inlineStr">
        <is>
          <t>GPPWM 1-2</t>
        </is>
      </c>
      <c r="B24" s="5" t="inlineStr">
        <is>
          <t>GPPWM1</t>
        </is>
      </c>
      <c r="C24" s="5" t="inlineStr">
        <is>
          <t>/OUT_LS1</t>
        </is>
      </c>
      <c r="D24" s="5" t="inlineStr">
        <is>
          <t>MM100_INJ7 (PD15)</t>
        </is>
      </c>
      <c r="E24" s="5" t="inlineStr">
        <is>
          <t>Low-Side</t>
        </is>
      </c>
      <c r="F24" s="5" t="inlineStr">
        <is>
          <t>3 A</t>
        </is>
      </c>
      <c r="G24" s="6" t="inlineStr">
        <is>
          <t>A</t>
        </is>
      </c>
      <c r="H24" s="6" t="n">
        <v>15</v>
      </c>
      <c r="I24" s="5" t="inlineStr">
        <is>
          <t>mit Freilaufdiode</t>
        </is>
      </c>
      <c r="J24" s="5">
        <f>IF(OR(G24="",H24=""),"",G24&amp;"-"&amp;H24)</f>
        <v/>
      </c>
      <c r="K24" s="5">
        <f>IF(A24="","",IF(J24="","nicht belegt",IF(COUNTIF($J$2:$J$150,J24)&gt;1,"DOPPELT",IF(OR(H24&lt;1,H24&gt;IF(G24="EGT",8,34)),"Pin ungültig","ok"))))</f>
        <v/>
      </c>
      <c r="L24" s="7" t="n"/>
      <c r="M24" s="8" t="n">
        <v>0.75</v>
      </c>
    </row>
    <row r="25">
      <c r="A25" s="5" t="inlineStr">
        <is>
          <t>GPPWM 1-2</t>
        </is>
      </c>
      <c r="B25" s="5" t="inlineStr">
        <is>
          <t>GPPWM2</t>
        </is>
      </c>
      <c r="C25" s="5" t="inlineStr">
        <is>
          <t>/OUT_LS2</t>
        </is>
      </c>
      <c r="D25" s="5" t="inlineStr">
        <is>
          <t>MM100_INJ8 (PD12)</t>
        </is>
      </c>
      <c r="E25" s="5" t="inlineStr">
        <is>
          <t>Low-Side</t>
        </is>
      </c>
      <c r="F25" s="5" t="inlineStr">
        <is>
          <t>3 A</t>
        </is>
      </c>
      <c r="G25" s="6" t="inlineStr">
        <is>
          <t>A</t>
        </is>
      </c>
      <c r="H25" s="6" t="n">
        <v>16</v>
      </c>
      <c r="I25" s="5" t="inlineStr">
        <is>
          <t>mit Freilaufdiode</t>
        </is>
      </c>
      <c r="J25" s="5">
        <f>IF(OR(G25="",H25=""),"",G25&amp;"-"&amp;H25)</f>
        <v/>
      </c>
      <c r="K25" s="5">
        <f>IF(A25="","",IF(J25="","nicht belegt",IF(COUNTIF($J$2:$J$150,J25)&gt;1,"DOPPELT",IF(OR(H25&lt;1,H25&gt;IF(G25="EGT",8,34)),"Pin ungültig","ok"))))</f>
        <v/>
      </c>
      <c r="L25" s="7" t="n"/>
      <c r="M25" s="8" t="n">
        <v>0.75</v>
      </c>
    </row>
    <row r="26">
      <c r="A26" s="5" t="inlineStr">
        <is>
          <t>GPPWM 3-4</t>
        </is>
      </c>
      <c r="B26" s="5" t="inlineStr">
        <is>
          <t>GPPWM3</t>
        </is>
      </c>
      <c r="C26" s="5" t="inlineStr">
        <is>
          <t>/OUT_LS3</t>
        </is>
      </c>
      <c r="D26" s="5" t="inlineStr">
        <is>
          <t>MM100_OUT_PWM1 (PD13)</t>
        </is>
      </c>
      <c r="E26" s="5" t="inlineStr">
        <is>
          <t>Low-Side</t>
        </is>
      </c>
      <c r="F26" s="5" t="inlineStr">
        <is>
          <t>3 A</t>
        </is>
      </c>
      <c r="G26" s="6" t="inlineStr">
        <is>
          <t>B</t>
        </is>
      </c>
      <c r="H26" s="6" t="n">
        <v>9</v>
      </c>
      <c r="I26" s="5" t="inlineStr">
        <is>
          <t>mit Freilaufdiode</t>
        </is>
      </c>
      <c r="J26" s="5">
        <f>IF(OR(G26="",H26=""),"",G26&amp;"-"&amp;H26)</f>
        <v/>
      </c>
      <c r="K26" s="5">
        <f>IF(A26="","",IF(J26="","nicht belegt",IF(COUNTIF($J$2:$J$150,J26)&gt;1,"DOPPELT",IF(OR(H26&lt;1,H26&gt;IF(G26="EGT",8,34)),"Pin ungültig","ok"))))</f>
        <v/>
      </c>
      <c r="L26" s="7" t="n"/>
      <c r="M26" s="8" t="n">
        <v>0.75</v>
      </c>
    </row>
    <row r="27">
      <c r="A27" s="5" t="inlineStr">
        <is>
          <t>GPPWM 3-4</t>
        </is>
      </c>
      <c r="B27" s="5" t="inlineStr">
        <is>
          <t>GPPWM4</t>
        </is>
      </c>
      <c r="C27" s="5" t="inlineStr">
        <is>
          <t>/OUT_LS4</t>
        </is>
      </c>
      <c r="D27" s="5" t="inlineStr">
        <is>
          <t>MM100_OUT_PWM2 (PC6)</t>
        </is>
      </c>
      <c r="E27" s="5" t="inlineStr">
        <is>
          <t>Low-Side</t>
        </is>
      </c>
      <c r="F27" s="5" t="inlineStr">
        <is>
          <t>3 A</t>
        </is>
      </c>
      <c r="G27" s="6" t="inlineStr">
        <is>
          <t>B</t>
        </is>
      </c>
      <c r="H27" s="6" t="n">
        <v>10</v>
      </c>
      <c r="I27" s="5" t="inlineStr">
        <is>
          <t>mit Freilaufdiode</t>
        </is>
      </c>
      <c r="J27" s="5">
        <f>IF(OR(G27="",H27=""),"",G27&amp;"-"&amp;H27)</f>
        <v/>
      </c>
      <c r="K27" s="5">
        <f>IF(A27="","",IF(J27="","nicht belegt",IF(COUNTIF($J$2:$J$150,J27)&gt;1,"DOPPELT",IF(OR(H27&lt;1,H27&gt;IF(G27="EGT",8,34)),"Pin ungültig","ok"))))</f>
        <v/>
      </c>
      <c r="L27" s="7" t="n"/>
      <c r="M27" s="8" t="n">
        <v>0.75</v>
      </c>
    </row>
    <row r="28">
      <c r="A28" s="5" t="inlineStr">
        <is>
          <t>Basis-Sensoren</t>
        </is>
      </c>
      <c r="B28" s="5" t="inlineStr">
        <is>
          <t>TPS1</t>
        </is>
      </c>
      <c r="C28" s="5" t="inlineStr">
        <is>
          <t>/IN_TPS1</t>
        </is>
      </c>
      <c r="D28" s="5" t="inlineStr">
        <is>
          <t>MM100_IN_TPS (PA4)</t>
        </is>
      </c>
      <c r="E28" s="5" t="inlineStr">
        <is>
          <t>Analog 0–5V</t>
        </is>
      </c>
      <c r="F28" s="5" t="inlineStr">
        <is>
          <t>-</t>
        </is>
      </c>
      <c r="G28" s="6" t="inlineStr">
        <is>
          <t>A</t>
        </is>
      </c>
      <c r="H28" s="6" t="n">
        <v>17</v>
      </c>
      <c r="I28" s="5" t="inlineStr"/>
      <c r="J28" s="5">
        <f>IF(OR(G28="",H28=""),"",G28&amp;"-"&amp;H28)</f>
        <v/>
      </c>
      <c r="K28" s="5">
        <f>IF(A28="","",IF(J28="","nicht belegt",IF(COUNTIF($J$2:$J$150,J28)&gt;1,"DOPPELT",IF(OR(H28&lt;1,H28&gt;IF(G28="EGT",8,34)),"Pin ungültig","ok"))))</f>
        <v/>
      </c>
      <c r="L28" s="7" t="n"/>
      <c r="M28" s="8" t="n">
        <v>0.5</v>
      </c>
    </row>
    <row r="29">
      <c r="A29" s="5" t="inlineStr">
        <is>
          <t>Basis-Sensoren</t>
        </is>
      </c>
      <c r="B29" s="5" t="inlineStr">
        <is>
          <t>CLT</t>
        </is>
      </c>
      <c r="C29" s="5" t="inlineStr">
        <is>
          <t>/IN_CLT</t>
        </is>
      </c>
      <c r="D29" s="5" t="inlineStr">
        <is>
          <t>MM100_IN_CLT (PC2)</t>
        </is>
      </c>
      <c r="E29" s="5" t="inlineStr">
        <is>
          <t>Analog 0–5V</t>
        </is>
      </c>
      <c r="F29" s="5" t="inlineStr">
        <is>
          <t>-</t>
        </is>
      </c>
      <c r="G29" s="6" t="inlineStr">
        <is>
          <t>A</t>
        </is>
      </c>
      <c r="H29" s="6" t="n">
        <v>18</v>
      </c>
      <c r="I29" s="5" t="inlineStr"/>
      <c r="J29" s="5">
        <f>IF(OR(G29="",H29=""),"",G29&amp;"-"&amp;H29)</f>
        <v/>
      </c>
      <c r="K29" s="5">
        <f>IF(A29="","",IF(J29="","nicht belegt",IF(COUNTIF($J$2:$J$150,J29)&gt;1,"DOPPELT",IF(OR(H29&lt;1,H29&gt;IF(G29="EGT",8,34)),"Pin ungültig","ok"))))</f>
        <v/>
      </c>
      <c r="L29" s="7" t="n"/>
      <c r="M29" s="8" t="n">
        <v>0.5</v>
      </c>
    </row>
    <row r="30">
      <c r="A30" s="5" t="inlineStr">
        <is>
          <t>Basis-Sensoren</t>
        </is>
      </c>
      <c r="B30" s="5" t="inlineStr">
        <is>
          <t>IAT</t>
        </is>
      </c>
      <c r="C30" s="5" t="inlineStr">
        <is>
          <t>/IN_IAT</t>
        </is>
      </c>
      <c r="D30" s="5" t="inlineStr">
        <is>
          <t>MM100_IN_IAT (PC3)</t>
        </is>
      </c>
      <c r="E30" s="5" t="inlineStr">
        <is>
          <t>Analog 0–5V</t>
        </is>
      </c>
      <c r="F30" s="5" t="inlineStr">
        <is>
          <t>-</t>
        </is>
      </c>
      <c r="G30" s="6" t="inlineStr">
        <is>
          <t>A</t>
        </is>
      </c>
      <c r="H30" s="6" t="n">
        <v>19</v>
      </c>
      <c r="I30" s="5" t="inlineStr"/>
      <c r="J30" s="5">
        <f>IF(OR(G30="",H30=""),"",G30&amp;"-"&amp;H30)</f>
        <v/>
      </c>
      <c r="K30" s="5">
        <f>IF(A30="","",IF(J30="","nicht belegt",IF(COUNTIF($J$2:$J$150,J30)&gt;1,"DOPPELT",IF(OR(H30&lt;1,H30&gt;IF(G30="EGT",8,34)),"Pin ungültig","ok"))))</f>
        <v/>
      </c>
      <c r="L30" s="7" t="n"/>
      <c r="M30" s="8" t="n">
        <v>0.5</v>
      </c>
    </row>
    <row r="31">
      <c r="A31" s="5" t="inlineStr">
        <is>
          <t>Hall 1</t>
        </is>
      </c>
      <c r="B31" s="5" t="inlineStr">
        <is>
          <t>Hall 1 (Kurbelwelle)</t>
        </is>
      </c>
      <c r="C31" s="5" t="inlineStr">
        <is>
          <t>/IN_HALL1</t>
        </is>
      </c>
      <c r="D31" s="5" t="inlineStr">
        <is>
          <t>MM100_IN_D1 (PE12)</t>
        </is>
      </c>
      <c r="E31" s="5" t="inlineStr">
        <is>
          <t>Digital</t>
        </is>
      </c>
      <c r="F31" s="5" t="inlineStr">
        <is>
          <t>-</t>
        </is>
      </c>
      <c r="G31" s="6" t="inlineStr">
        <is>
          <t>A</t>
        </is>
      </c>
      <c r="H31" s="6" t="n">
        <v>20</v>
      </c>
      <c r="I31" s="5" t="inlineStr">
        <is>
          <t>4,7k Pull-up, Trigger in Firmware</t>
        </is>
      </c>
      <c r="J31" s="5">
        <f>IF(OR(G31="",H31=""),"",G31&amp;"-"&amp;H31)</f>
        <v/>
      </c>
      <c r="K31" s="5">
        <f>IF(A31="","",IF(J31="","nicht belegt",IF(COUNTIF($J$2:$J$150,J31)&gt;1,"DOPPELT",IF(OR(H31&lt;1,H31&gt;IF(G31="EGT",8,34)),"Pin ungültig","ok"))))</f>
        <v/>
      </c>
      <c r="L31" s="7" t="n"/>
      <c r="M31" s="8" t="n">
        <v>0.5</v>
      </c>
    </row>
    <row r="32">
      <c r="A32" s="5" t="inlineStr">
        <is>
          <t>Lambda 1</t>
        </is>
      </c>
      <c r="B32" s="5" t="inlineStr">
        <is>
          <t>Lambda 1 Heizung + (LSU Pin 4)</t>
        </is>
      </c>
      <c r="C32" s="5" t="inlineStr">
        <is>
          <t>+12V_RAW</t>
        </is>
      </c>
      <c r="D32" s="5" t="inlineStr">
        <is>
          <t>Modul M5</t>
        </is>
      </c>
      <c r="E32" s="5" t="inlineStr">
        <is>
          <t>Lambda</t>
        </is>
      </c>
      <c r="F32" s="5" t="inlineStr">
        <is>
          <t>2 A</t>
        </is>
      </c>
      <c r="G32" s="6" t="inlineStr">
        <is>
          <t>A</t>
        </is>
      </c>
      <c r="H32" s="6" t="n">
        <v>21</v>
      </c>
      <c r="I32" s="5" t="inlineStr">
        <is>
          <t>kalt kurz bis 2 A</t>
        </is>
      </c>
      <c r="J32" s="5">
        <f>IF(OR(G32="",H32=""),"",G32&amp;"-"&amp;H32)</f>
        <v/>
      </c>
      <c r="K32" s="5">
        <f>IF(A32="","",IF(J32="","nicht belegt",IF(COUNTIF($J$2:$J$150,J32)&gt;1,"DOPPELT",IF(OR(H32&lt;1,H32&gt;IF(G32="EGT",8,34)),"Pin ungültig","ok"))))</f>
        <v/>
      </c>
      <c r="L32" s="7" t="n"/>
      <c r="M32" s="8" t="n">
        <v>0.75</v>
      </c>
    </row>
    <row r="33">
      <c r="A33" s="5" t="inlineStr">
        <is>
          <t>Lambda 1</t>
        </is>
      </c>
      <c r="B33" s="5" t="inlineStr">
        <is>
          <t>Lambda 1 Heizung − (LSU Pin 3)</t>
        </is>
      </c>
      <c r="C33" s="5" t="inlineStr">
        <is>
          <t>/3_WBO_Heater</t>
        </is>
      </c>
      <c r="D33" s="5" t="inlineStr">
        <is>
          <t>Modul M5</t>
        </is>
      </c>
      <c r="E33" s="5" t="inlineStr">
        <is>
          <t>Lambda</t>
        </is>
      </c>
      <c r="F33" s="5" t="inlineStr">
        <is>
          <t>2 A</t>
        </is>
      </c>
      <c r="G33" s="6" t="inlineStr">
        <is>
          <t>A</t>
        </is>
      </c>
      <c r="H33" s="6" t="n">
        <v>22</v>
      </c>
      <c r="I33" s="5" t="inlineStr">
        <is>
          <t>kalt kurz bis 2 A</t>
        </is>
      </c>
      <c r="J33" s="5">
        <f>IF(OR(G33="",H33=""),"",G33&amp;"-"&amp;H33)</f>
        <v/>
      </c>
      <c r="K33" s="5">
        <f>IF(A33="","",IF(J33="","nicht belegt",IF(COUNTIF($J$2:$J$150,J33)&gt;1,"DOPPELT",IF(OR(H33&lt;1,H33&gt;IF(G33="EGT",8,34)),"Pin ungültig","ok"))))</f>
        <v/>
      </c>
      <c r="L33" s="7" t="n"/>
      <c r="M33" s="8" t="n">
        <v>0.75</v>
      </c>
    </row>
    <row r="34">
      <c r="A34" s="5" t="inlineStr">
        <is>
          <t>Lambda 1</t>
        </is>
      </c>
      <c r="B34" s="5" t="inlineStr">
        <is>
          <t>Lambda 1 Ip (LSU Pin 1)</t>
        </is>
      </c>
      <c r="C34" s="5" t="inlineStr">
        <is>
          <t>/1_WBO_Ip</t>
        </is>
      </c>
      <c r="D34" s="5" t="inlineStr">
        <is>
          <t>Modul M5</t>
        </is>
      </c>
      <c r="E34" s="5" t="inlineStr">
        <is>
          <t>Lambda</t>
        </is>
      </c>
      <c r="F34" s="5" t="inlineStr">
        <is>
          <t>0,01 A</t>
        </is>
      </c>
      <c r="G34" s="6" t="inlineStr">
        <is>
          <t>A</t>
        </is>
      </c>
      <c r="H34" s="6" t="n">
        <v>23</v>
      </c>
      <c r="I34" s="5" t="inlineStr"/>
      <c r="J34" s="5">
        <f>IF(OR(G34="",H34=""),"",G34&amp;"-"&amp;H34)</f>
        <v/>
      </c>
      <c r="K34" s="5">
        <f>IF(A34="","",IF(J34="","nicht belegt",IF(COUNTIF($J$2:$J$150,J34)&gt;1,"DOPPELT",IF(OR(H34&lt;1,H34&gt;IF(G34="EGT",8,34)),"Pin ungültig","ok"))))</f>
        <v/>
      </c>
      <c r="L34" s="7" t="n"/>
      <c r="M34" s="8" t="n">
        <v>0.5</v>
      </c>
    </row>
    <row r="35">
      <c r="A35" s="5" t="inlineStr">
        <is>
          <t>Lambda 1</t>
        </is>
      </c>
      <c r="B35" s="5" t="inlineStr">
        <is>
          <t>Lambda 1 Vm (LSU Pin 2)</t>
        </is>
      </c>
      <c r="C35" s="5" t="inlineStr">
        <is>
          <t>/2_WBO_Vm</t>
        </is>
      </c>
      <c r="D35" s="5" t="inlineStr">
        <is>
          <t>Modul M5</t>
        </is>
      </c>
      <c r="E35" s="5" t="inlineStr">
        <is>
          <t>Lambda</t>
        </is>
      </c>
      <c r="F35" s="5" t="inlineStr">
        <is>
          <t>0,01 A</t>
        </is>
      </c>
      <c r="G35" s="6" t="inlineStr">
        <is>
          <t>A</t>
        </is>
      </c>
      <c r="H35" s="6" t="n">
        <v>24</v>
      </c>
      <c r="I35" s="5" t="inlineStr"/>
      <c r="J35" s="5">
        <f>IF(OR(G35="",H35=""),"",G35&amp;"-"&amp;H35)</f>
        <v/>
      </c>
      <c r="K35" s="5">
        <f>IF(A35="","",IF(J35="","nicht belegt",IF(COUNTIF($J$2:$J$150,J35)&gt;1,"DOPPELT",IF(OR(H35&lt;1,H35&gt;IF(G35="EGT",8,34)),"Pin ungültig","ok"))))</f>
        <v/>
      </c>
      <c r="L35" s="7" t="n"/>
      <c r="M35" s="8" t="n">
        <v>0.5</v>
      </c>
    </row>
    <row r="36">
      <c r="A36" s="5" t="inlineStr">
        <is>
          <t>Lambda 1</t>
        </is>
      </c>
      <c r="B36" s="5" t="inlineStr">
        <is>
          <t>Lambda 1 Un (LSU Pin 6)</t>
        </is>
      </c>
      <c r="C36" s="5" t="inlineStr">
        <is>
          <t>/6_WBO_Un</t>
        </is>
      </c>
      <c r="D36" s="5" t="inlineStr">
        <is>
          <t>Modul M5</t>
        </is>
      </c>
      <c r="E36" s="5" t="inlineStr">
        <is>
          <t>Lambda</t>
        </is>
      </c>
      <c r="F36" s="5" t="inlineStr">
        <is>
          <t>0,01 A</t>
        </is>
      </c>
      <c r="G36" s="6" t="inlineStr">
        <is>
          <t>A</t>
        </is>
      </c>
      <c r="H36" s="6" t="n">
        <v>25</v>
      </c>
      <c r="I36" s="5" t="inlineStr"/>
      <c r="J36" s="5">
        <f>IF(OR(G36="",H36=""),"",G36&amp;"-"&amp;H36)</f>
        <v/>
      </c>
      <c r="K36" s="5">
        <f>IF(A36="","",IF(J36="","nicht belegt",IF(COUNTIF($J$2:$J$150,J36)&gt;1,"DOPPELT",IF(OR(H36&lt;1,H36&gt;IF(G36="EGT",8,34)),"Pin ungültig","ok"))))</f>
        <v/>
      </c>
      <c r="L36" s="7" t="n"/>
      <c r="M36" s="8" t="n">
        <v>0.5</v>
      </c>
    </row>
    <row r="37">
      <c r="A37" s="5" t="inlineStr">
        <is>
          <t>Lambda 1</t>
        </is>
      </c>
      <c r="B37" s="5" t="inlineStr">
        <is>
          <t>Lambda 1 Rtrim (LSU Pin 5)</t>
        </is>
      </c>
      <c r="C37" s="5" t="inlineStr">
        <is>
          <t>/5_WBO_Rtrim</t>
        </is>
      </c>
      <c r="D37" s="5" t="inlineStr">
        <is>
          <t>Modul M5</t>
        </is>
      </c>
      <c r="E37" s="5" t="inlineStr">
        <is>
          <t>Lambda</t>
        </is>
      </c>
      <c r="F37" s="5" t="inlineStr">
        <is>
          <t>0,01 A</t>
        </is>
      </c>
      <c r="G37" s="6" t="inlineStr">
        <is>
          <t>A</t>
        </is>
      </c>
      <c r="H37" s="6" t="n">
        <v>26</v>
      </c>
      <c r="I37" s="5" t="inlineStr"/>
      <c r="J37" s="5">
        <f>IF(OR(G37="",H37=""),"",G37&amp;"-"&amp;H37)</f>
        <v/>
      </c>
      <c r="K37" s="5">
        <f>IF(A37="","",IF(J37="","nicht belegt",IF(COUNTIF($J$2:$J$150,J37)&gt;1,"DOPPELT",IF(OR(H37&lt;1,H37&gt;IF(G37="EGT",8,34)),"Pin ungültig","ok"))))</f>
        <v/>
      </c>
      <c r="L37" s="7" t="n"/>
      <c r="M37" s="8" t="n">
        <v>0.5</v>
      </c>
    </row>
    <row r="38">
      <c r="A38" s="5" t="inlineStr">
        <is>
          <t>Lambda 2</t>
        </is>
      </c>
      <c r="B38" s="5" t="inlineStr">
        <is>
          <t>Lambda 2 Heizung + (LSU Pin 4)</t>
        </is>
      </c>
      <c r="C38" s="5" t="inlineStr">
        <is>
          <t>+12V_RAW</t>
        </is>
      </c>
      <c r="D38" s="5" t="inlineStr">
        <is>
          <t>Modul M8</t>
        </is>
      </c>
      <c r="E38" s="5" t="inlineStr">
        <is>
          <t>Lambda</t>
        </is>
      </c>
      <c r="F38" s="5" t="inlineStr">
        <is>
          <t>2 A</t>
        </is>
      </c>
      <c r="G38" s="6" t="inlineStr">
        <is>
          <t>B</t>
        </is>
      </c>
      <c r="H38" s="6" t="n">
        <v>29</v>
      </c>
      <c r="I38" s="5" t="inlineStr">
        <is>
          <t>kalt kurz bis 2 A</t>
        </is>
      </c>
      <c r="J38" s="5">
        <f>IF(OR(G38="",H38=""),"",G38&amp;"-"&amp;H38)</f>
        <v/>
      </c>
      <c r="K38" s="5">
        <f>IF(A38="","",IF(J38="","nicht belegt",IF(COUNTIF($J$2:$J$150,J38)&gt;1,"DOPPELT",IF(OR(H38&lt;1,H38&gt;IF(G38="EGT",8,34)),"Pin ungültig","ok"))))</f>
        <v/>
      </c>
      <c r="L38" s="7" t="n"/>
      <c r="M38" s="8" t="n">
        <v>0.75</v>
      </c>
    </row>
    <row r="39">
      <c r="A39" s="5" t="inlineStr">
        <is>
          <t>Lambda 2</t>
        </is>
      </c>
      <c r="B39" s="5" t="inlineStr">
        <is>
          <t>Lambda 2 Heizung − (LSU Pin 3)</t>
        </is>
      </c>
      <c r="C39" s="5" t="inlineStr">
        <is>
          <t>/WBO2_Heater</t>
        </is>
      </c>
      <c r="D39" s="5" t="inlineStr">
        <is>
          <t>Modul M8</t>
        </is>
      </c>
      <c r="E39" s="5" t="inlineStr">
        <is>
          <t>Lambda</t>
        </is>
      </c>
      <c r="F39" s="5" t="inlineStr">
        <is>
          <t>2 A</t>
        </is>
      </c>
      <c r="G39" s="6" t="inlineStr">
        <is>
          <t>B</t>
        </is>
      </c>
      <c r="H39" s="6" t="n">
        <v>30</v>
      </c>
      <c r="I39" s="5" t="inlineStr">
        <is>
          <t>kalt kurz bis 2 A</t>
        </is>
      </c>
      <c r="J39" s="5">
        <f>IF(OR(G39="",H39=""),"",G39&amp;"-"&amp;H39)</f>
        <v/>
      </c>
      <c r="K39" s="5">
        <f>IF(A39="","",IF(J39="","nicht belegt",IF(COUNTIF($J$2:$J$150,J39)&gt;1,"DOPPELT",IF(OR(H39&lt;1,H39&gt;IF(G39="EGT",8,34)),"Pin ungültig","ok"))))</f>
        <v/>
      </c>
      <c r="L39" s="7" t="n"/>
      <c r="M39" s="8" t="n">
        <v>0.75</v>
      </c>
    </row>
    <row r="40">
      <c r="A40" s="5" t="inlineStr">
        <is>
          <t>Lambda 2</t>
        </is>
      </c>
      <c r="B40" s="5" t="inlineStr">
        <is>
          <t>Lambda 2 Ip (LSU Pin 1)</t>
        </is>
      </c>
      <c r="C40" s="5" t="inlineStr">
        <is>
          <t>/WBO2_Ip</t>
        </is>
      </c>
      <c r="D40" s="5" t="inlineStr">
        <is>
          <t>Modul M8</t>
        </is>
      </c>
      <c r="E40" s="5" t="inlineStr">
        <is>
          <t>Lambda</t>
        </is>
      </c>
      <c r="F40" s="5" t="inlineStr">
        <is>
          <t>0,01 A</t>
        </is>
      </c>
      <c r="G40" s="6" t="inlineStr">
        <is>
          <t>B</t>
        </is>
      </c>
      <c r="H40" s="6" t="n">
        <v>31</v>
      </c>
      <c r="I40" s="5" t="inlineStr"/>
      <c r="J40" s="5">
        <f>IF(OR(G40="",H40=""),"",G40&amp;"-"&amp;H40)</f>
        <v/>
      </c>
      <c r="K40" s="5">
        <f>IF(A40="","",IF(J40="","nicht belegt",IF(COUNTIF($J$2:$J$150,J40)&gt;1,"DOPPELT",IF(OR(H40&lt;1,H40&gt;IF(G40="EGT",8,34)),"Pin ungültig","ok"))))</f>
        <v/>
      </c>
      <c r="L40" s="7" t="n"/>
      <c r="M40" s="8" t="n">
        <v>0.5</v>
      </c>
    </row>
    <row r="41">
      <c r="A41" s="5" t="inlineStr">
        <is>
          <t>Lambda 2</t>
        </is>
      </c>
      <c r="B41" s="5" t="inlineStr">
        <is>
          <t>Lambda 2 Vm (LSU Pin 2)</t>
        </is>
      </c>
      <c r="C41" s="5" t="inlineStr">
        <is>
          <t>/WBO2_Vm</t>
        </is>
      </c>
      <c r="D41" s="5" t="inlineStr">
        <is>
          <t>Modul M8</t>
        </is>
      </c>
      <c r="E41" s="5" t="inlineStr">
        <is>
          <t>Lambda</t>
        </is>
      </c>
      <c r="F41" s="5" t="inlineStr">
        <is>
          <t>0,01 A</t>
        </is>
      </c>
      <c r="G41" s="6" t="inlineStr">
        <is>
          <t>B</t>
        </is>
      </c>
      <c r="H41" s="6" t="n">
        <v>32</v>
      </c>
      <c r="I41" s="5" t="inlineStr"/>
      <c r="J41" s="5">
        <f>IF(OR(G41="",H41=""),"",G41&amp;"-"&amp;H41)</f>
        <v/>
      </c>
      <c r="K41" s="5">
        <f>IF(A41="","",IF(J41="","nicht belegt",IF(COUNTIF($J$2:$J$150,J41)&gt;1,"DOPPELT",IF(OR(H41&lt;1,H41&gt;IF(G41="EGT",8,34)),"Pin ungültig","ok"))))</f>
        <v/>
      </c>
      <c r="L41" s="7" t="n"/>
      <c r="M41" s="8" t="n">
        <v>0.5</v>
      </c>
    </row>
    <row r="42">
      <c r="A42" s="5" t="inlineStr">
        <is>
          <t>Lambda 2</t>
        </is>
      </c>
      <c r="B42" s="5" t="inlineStr">
        <is>
          <t>Lambda 2 Un (LSU Pin 6)</t>
        </is>
      </c>
      <c r="C42" s="5" t="inlineStr">
        <is>
          <t>/WBO2_Un</t>
        </is>
      </c>
      <c r="D42" s="5" t="inlineStr">
        <is>
          <t>Modul M8</t>
        </is>
      </c>
      <c r="E42" s="5" t="inlineStr">
        <is>
          <t>Lambda</t>
        </is>
      </c>
      <c r="F42" s="5" t="inlineStr">
        <is>
          <t>0,01 A</t>
        </is>
      </c>
      <c r="G42" s="6" t="inlineStr">
        <is>
          <t>B</t>
        </is>
      </c>
      <c r="H42" s="6" t="n">
        <v>33</v>
      </c>
      <c r="I42" s="5" t="inlineStr"/>
      <c r="J42" s="5">
        <f>IF(OR(G42="",H42=""),"",G42&amp;"-"&amp;H42)</f>
        <v/>
      </c>
      <c r="K42" s="5">
        <f>IF(A42="","",IF(J42="","nicht belegt",IF(COUNTIF($J$2:$J$150,J42)&gt;1,"DOPPELT",IF(OR(H42&lt;1,H42&gt;IF(G42="EGT",8,34)),"Pin ungültig","ok"))))</f>
        <v/>
      </c>
      <c r="L42" s="7" t="n"/>
      <c r="M42" s="8" t="n">
        <v>0.5</v>
      </c>
    </row>
    <row r="43">
      <c r="A43" s="5" t="inlineStr">
        <is>
          <t>Lambda 2</t>
        </is>
      </c>
      <c r="B43" s="5" t="inlineStr">
        <is>
          <t>Lambda 2 Rtrim (LSU Pin 5)</t>
        </is>
      </c>
      <c r="C43" s="5" t="inlineStr">
        <is>
          <t>/WBO2_Rtrim</t>
        </is>
      </c>
      <c r="D43" s="5" t="inlineStr">
        <is>
          <t>Modul M8</t>
        </is>
      </c>
      <c r="E43" s="5" t="inlineStr">
        <is>
          <t>Lambda</t>
        </is>
      </c>
      <c r="F43" s="5" t="inlineStr">
        <is>
          <t>0,01 A</t>
        </is>
      </c>
      <c r="G43" s="6" t="inlineStr">
        <is>
          <t>B</t>
        </is>
      </c>
      <c r="H43" s="6" t="n">
        <v>34</v>
      </c>
      <c r="I43" s="5" t="inlineStr"/>
      <c r="J43" s="5">
        <f>IF(OR(G43="",H43=""),"",G43&amp;"-"&amp;H43)</f>
        <v/>
      </c>
      <c r="K43" s="5">
        <f>IF(A43="","",IF(J43="","nicht belegt",IF(COUNTIF($J$2:$J$150,J43)&gt;1,"DOPPELT",IF(OR(H43&lt;1,H43&gt;IF(G43="EGT",8,34)),"Pin ungültig","ok"))))</f>
        <v/>
      </c>
      <c r="L43" s="7" t="n"/>
      <c r="M43" s="8" t="n">
        <v>0.5</v>
      </c>
    </row>
    <row r="44">
      <c r="A44" s="5" t="inlineStr">
        <is>
          <t>USB</t>
        </is>
      </c>
      <c r="B44" s="5" t="inlineStr">
        <is>
          <t>USB VBUS</t>
        </is>
      </c>
      <c r="C44" s="5" t="inlineStr">
        <is>
          <t>/VBUS</t>
        </is>
      </c>
      <c r="D44" s="5" t="inlineStr">
        <is>
          <t>VBUS (N1)</t>
        </is>
      </c>
      <c r="E44" s="5" t="inlineStr">
        <is>
          <t>USB</t>
        </is>
      </c>
      <c r="F44" s="5" t="inlineStr">
        <is>
          <t>0,1 A</t>
        </is>
      </c>
      <c r="G44" s="6" t="inlineStr">
        <is>
          <t>A</t>
        </is>
      </c>
      <c r="H44" s="6" t="n">
        <v>27</v>
      </c>
      <c r="I44" s="5" t="inlineStr">
        <is>
          <t>USB-Erkennung</t>
        </is>
      </c>
      <c r="J44" s="5">
        <f>IF(OR(G44="",H44=""),"",G44&amp;"-"&amp;H44)</f>
        <v/>
      </c>
      <c r="K44" s="5">
        <f>IF(A44="","",IF(J44="","nicht belegt",IF(COUNTIF($J$2:$J$150,J44)&gt;1,"DOPPELT",IF(OR(H44&lt;1,H44&gt;IF(G44="EGT",8,34)),"Pin ungültig","ok"))))</f>
        <v/>
      </c>
      <c r="L44" s="7" t="n"/>
      <c r="M44" s="8" t="n">
        <v>0.5</v>
      </c>
    </row>
    <row r="45">
      <c r="A45" s="5" t="inlineStr">
        <is>
          <t>USB</t>
        </is>
      </c>
      <c r="B45" s="5" t="inlineStr">
        <is>
          <t>USB D+</t>
        </is>
      </c>
      <c r="C45" s="5" t="inlineStr">
        <is>
          <t>/USB+</t>
        </is>
      </c>
      <c r="D45" s="5" t="inlineStr">
        <is>
          <t>PA12</t>
        </is>
      </c>
      <c r="E45" s="5" t="inlineStr">
        <is>
          <t>USB</t>
        </is>
      </c>
      <c r="F45" s="5" t="inlineStr">
        <is>
          <t>-</t>
        </is>
      </c>
      <c r="G45" s="6" t="inlineStr">
        <is>
          <t>A</t>
        </is>
      </c>
      <c r="H45" s="6" t="n">
        <v>28</v>
      </c>
      <c r="I45" s="5" t="inlineStr">
        <is>
          <t>verdrillt mit D−</t>
        </is>
      </c>
      <c r="J45" s="5">
        <f>IF(OR(G45="",H45=""),"",G45&amp;"-"&amp;H45)</f>
        <v/>
      </c>
      <c r="K45" s="5">
        <f>IF(A45="","",IF(J45="","nicht belegt",IF(COUNTIF($J$2:$J$150,J45)&gt;1,"DOPPELT",IF(OR(H45&lt;1,H45&gt;IF(G45="EGT",8,34)),"Pin ungültig","ok"))))</f>
        <v/>
      </c>
      <c r="L45" s="7" t="n"/>
      <c r="M45" s="8" t="n">
        <v>0.5</v>
      </c>
    </row>
    <row r="46">
      <c r="A46" s="5" t="inlineStr">
        <is>
          <t>USB</t>
        </is>
      </c>
      <c r="B46" s="5" t="inlineStr">
        <is>
          <t>USB D−</t>
        </is>
      </c>
      <c r="C46" s="5" t="inlineStr">
        <is>
          <t>/USB-</t>
        </is>
      </c>
      <c r="D46" s="5" t="inlineStr">
        <is>
          <t>PA11</t>
        </is>
      </c>
      <c r="E46" s="5" t="inlineStr">
        <is>
          <t>USB</t>
        </is>
      </c>
      <c r="F46" s="5" t="inlineStr">
        <is>
          <t>-</t>
        </is>
      </c>
      <c r="G46" s="6" t="inlineStr">
        <is>
          <t>A</t>
        </is>
      </c>
      <c r="H46" s="6" t="n">
        <v>29</v>
      </c>
      <c r="I46" s="5" t="inlineStr"/>
      <c r="J46" s="5">
        <f>IF(OR(G46="",H46=""),"",G46&amp;"-"&amp;H46)</f>
        <v/>
      </c>
      <c r="K46" s="5">
        <f>IF(A46="","",IF(J46="","nicht belegt",IF(COUNTIF($J$2:$J$150,J46)&gt;1,"DOPPELT",IF(OR(H46&lt;1,H46&gt;IF(G46="EGT",8,34)),"Pin ungültig","ok"))))</f>
        <v/>
      </c>
      <c r="L46" s="7" t="n"/>
      <c r="M46" s="8" t="n">
        <v>0.5</v>
      </c>
    </row>
    <row r="47">
      <c r="A47" s="5" t="inlineStr">
        <is>
          <t>USB</t>
        </is>
      </c>
      <c r="B47" s="5" t="inlineStr">
        <is>
          <t>USB Masse</t>
        </is>
      </c>
      <c r="C47" s="5" t="inlineStr">
        <is>
          <t>GND</t>
        </is>
      </c>
      <c r="D47" s="5" t="inlineStr">
        <is>
          <t>-</t>
        </is>
      </c>
      <c r="E47" s="5" t="inlineStr">
        <is>
          <t>Masse</t>
        </is>
      </c>
      <c r="F47" s="5" t="inlineStr">
        <is>
          <t>-</t>
        </is>
      </c>
      <c r="G47" s="6" t="inlineStr">
        <is>
          <t>A</t>
        </is>
      </c>
      <c r="H47" s="6" t="n">
        <v>30</v>
      </c>
      <c r="I47" s="5" t="inlineStr"/>
      <c r="J47" s="5">
        <f>IF(OR(G47="",H47=""),"",G47&amp;"-"&amp;H47)</f>
        <v/>
      </c>
      <c r="K47" s="5">
        <f>IF(A47="","",IF(J47="","nicht belegt",IF(COUNTIF($J$2:$J$150,J47)&gt;1,"DOPPELT",IF(OR(H47&lt;1,H47&gt;IF(G47="EGT",8,34)),"Pin ungültig","ok"))))</f>
        <v/>
      </c>
      <c r="L47" s="7" t="n"/>
      <c r="M47" s="8" t="n">
        <v>0.5</v>
      </c>
    </row>
    <row r="48">
      <c r="A48" s="5" t="inlineStr">
        <is>
          <t>CAN</t>
        </is>
      </c>
      <c r="B48" s="5" t="inlineStr">
        <is>
          <t>CAN High</t>
        </is>
      </c>
      <c r="C48" s="5" t="inlineStr">
        <is>
          <t>/CAN+</t>
        </is>
      </c>
      <c r="D48" s="5" t="inlineStr">
        <is>
          <t>CAN-Modul M7</t>
        </is>
      </c>
      <c r="E48" s="5" t="inlineStr">
        <is>
          <t>CAN</t>
        </is>
      </c>
      <c r="F48" s="5" t="inlineStr">
        <is>
          <t>-</t>
        </is>
      </c>
      <c r="G48" s="6" t="inlineStr">
        <is>
          <t>A</t>
        </is>
      </c>
      <c r="H48" s="6" t="n">
        <v>31</v>
      </c>
      <c r="I48" s="5" t="inlineStr">
        <is>
          <t>intern auch Lambda-Module</t>
        </is>
      </c>
      <c r="J48" s="5">
        <f>IF(OR(G48="",H48=""),"",G48&amp;"-"&amp;H48)</f>
        <v/>
      </c>
      <c r="K48" s="5">
        <f>IF(A48="","",IF(J48="","nicht belegt",IF(COUNTIF($J$2:$J$150,J48)&gt;1,"DOPPELT",IF(OR(H48&lt;1,H48&gt;IF(G48="EGT",8,34)),"Pin ungültig","ok"))))</f>
        <v/>
      </c>
      <c r="L48" s="7" t="n"/>
      <c r="M48" s="8" t="n">
        <v>0.5</v>
      </c>
    </row>
    <row r="49">
      <c r="A49" s="5" t="inlineStr">
        <is>
          <t>CAN</t>
        </is>
      </c>
      <c r="B49" s="5" t="inlineStr">
        <is>
          <t>CAN Low</t>
        </is>
      </c>
      <c r="C49" s="5" t="inlineStr">
        <is>
          <t>/CAN-</t>
        </is>
      </c>
      <c r="D49" s="5" t="inlineStr">
        <is>
          <t>CAN-Modul M7</t>
        </is>
      </c>
      <c r="E49" s="5" t="inlineStr">
        <is>
          <t>CAN</t>
        </is>
      </c>
      <c r="F49" s="5" t="inlineStr">
        <is>
          <t>-</t>
        </is>
      </c>
      <c r="G49" s="6" t="inlineStr">
        <is>
          <t>A</t>
        </is>
      </c>
      <c r="H49" s="6" t="n">
        <v>32</v>
      </c>
      <c r="I49" s="5" t="inlineStr"/>
      <c r="J49" s="5">
        <f>IF(OR(G49="",H49=""),"",G49&amp;"-"&amp;H49)</f>
        <v/>
      </c>
      <c r="K49" s="5">
        <f>IF(A49="","",IF(J49="","nicht belegt",IF(COUNTIF($J$2:$J$150,J49)&gt;1,"DOPPELT",IF(OR(H49&lt;1,H49&gt;IF(G49="EGT",8,34)),"Pin ungültig","ok"))))</f>
        <v/>
      </c>
      <c r="L49" s="7" t="n"/>
      <c r="M49" s="8" t="n">
        <v>0.5</v>
      </c>
    </row>
    <row r="50">
      <c r="A50" s="5" t="inlineStr">
        <is>
          <t>Versorgung 12V</t>
        </is>
      </c>
      <c r="B50" s="5" t="inlineStr">
        <is>
          <t>+12V Hallsensoren (B)</t>
        </is>
      </c>
      <c r="C50" s="5" t="inlineStr">
        <is>
          <t>/12V_HALL</t>
        </is>
      </c>
      <c r="D50" s="5" t="inlineStr">
        <is>
          <t>-</t>
        </is>
      </c>
      <c r="E50" s="5" t="inlineStr">
        <is>
          <t>Versorgung</t>
        </is>
      </c>
      <c r="F50" s="5" t="inlineStr">
        <is>
          <t>0,2 A</t>
        </is>
      </c>
      <c r="G50" s="6" t="inlineStr">
        <is>
          <t>B</t>
        </is>
      </c>
      <c r="H50" s="6" t="n">
        <v>1</v>
      </c>
      <c r="I50" s="5" t="inlineStr">
        <is>
          <t>gleiches Netz wie A3</t>
        </is>
      </c>
      <c r="J50" s="5">
        <f>IF(OR(G50="",H50=""),"",G50&amp;"-"&amp;H50)</f>
        <v/>
      </c>
      <c r="K50" s="5">
        <f>IF(A50="","",IF(J50="","nicht belegt",IF(COUNTIF($J$2:$J$150,J50)&gt;1,"DOPPELT",IF(OR(H50&lt;1,H50&gt;IF(G50="EGT",8,34)),"Pin ungültig","ok"))))</f>
        <v/>
      </c>
      <c r="L50" s="7" t="n"/>
      <c r="M50" s="8" t="n">
        <v>0.75</v>
      </c>
    </row>
    <row r="51">
      <c r="A51" s="5" t="inlineStr">
        <is>
          <t>5V Sensorversorgung</t>
        </is>
      </c>
      <c r="B51" s="5" t="inlineStr">
        <is>
          <t>+5V Sensor (B)</t>
        </is>
      </c>
      <c r="C51" s="5" t="inlineStr">
        <is>
          <t>+5VP</t>
        </is>
      </c>
      <c r="D51" s="5" t="inlineStr">
        <is>
          <t>-</t>
        </is>
      </c>
      <c r="E51" s="5" t="inlineStr">
        <is>
          <t>Versorgung</t>
        </is>
      </c>
      <c r="F51" s="5" t="inlineStr">
        <is>
          <t>0,1 A</t>
        </is>
      </c>
      <c r="G51" s="6" t="inlineStr">
        <is>
          <t>B</t>
        </is>
      </c>
      <c r="H51" s="6" t="n">
        <v>2</v>
      </c>
      <c r="I51" s="5" t="inlineStr"/>
      <c r="J51" s="5">
        <f>IF(OR(G51="",H51=""),"",G51&amp;"-"&amp;H51)</f>
        <v/>
      </c>
      <c r="K51" s="5">
        <f>IF(A51="","",IF(J51="","nicht belegt",IF(COUNTIF($J$2:$J$150,J51)&gt;1,"DOPPELT",IF(OR(H51&lt;1,H51&gt;IF(G51="EGT",8,34)),"Pin ungültig","ok"))))</f>
        <v/>
      </c>
      <c r="L51" s="7" t="n"/>
      <c r="M51" s="8" t="n">
        <v>0.5</v>
      </c>
    </row>
    <row r="52">
      <c r="A52" s="5" t="inlineStr">
        <is>
          <t>Sensormasse</t>
        </is>
      </c>
      <c r="B52" s="5" t="inlineStr">
        <is>
          <t>Sensormasse (B)</t>
        </is>
      </c>
      <c r="C52" s="5" t="inlineStr">
        <is>
          <t>GNDA</t>
        </is>
      </c>
      <c r="D52" s="5" t="inlineStr">
        <is>
          <t>-</t>
        </is>
      </c>
      <c r="E52" s="5" t="inlineStr">
        <is>
          <t>Masse</t>
        </is>
      </c>
      <c r="F52" s="5" t="inlineStr">
        <is>
          <t>0,1 A</t>
        </is>
      </c>
      <c r="G52" s="6" t="inlineStr">
        <is>
          <t>B</t>
        </is>
      </c>
      <c r="H52" s="6" t="n">
        <v>3</v>
      </c>
      <c r="I52" s="5" t="inlineStr"/>
      <c r="J52" s="5">
        <f>IF(OR(G52="",H52=""),"",G52&amp;"-"&amp;H52)</f>
        <v/>
      </c>
      <c r="K52" s="5">
        <f>IF(A52="","",IF(J52="","nicht belegt",IF(COUNTIF($J$2:$J$150,J52)&gt;1,"DOPPELT",IF(OR(H52&lt;1,H52&gt;IF(G52="EGT",8,34)),"Pin ungültig","ok"))))</f>
        <v/>
      </c>
      <c r="L52" s="7" t="n"/>
      <c r="M52" s="8" t="n">
        <v>0.5</v>
      </c>
    </row>
    <row r="53">
      <c r="A53" s="5" t="inlineStr">
        <is>
          <t>Masse</t>
        </is>
      </c>
      <c r="B53" s="5" t="inlineStr">
        <is>
          <t>Leistungsmasse (B)</t>
        </is>
      </c>
      <c r="C53" s="5" t="inlineStr">
        <is>
          <t>GND</t>
        </is>
      </c>
      <c r="D53" s="5" t="inlineStr">
        <is>
          <t>-</t>
        </is>
      </c>
      <c r="E53" s="5" t="inlineStr">
        <is>
          <t>Masse</t>
        </is>
      </c>
      <c r="F53" s="5" t="inlineStr">
        <is>
          <t>10 A</t>
        </is>
      </c>
      <c r="G53" s="6" t="inlineStr">
        <is>
          <t>B</t>
        </is>
      </c>
      <c r="H53" s="6" t="n">
        <v>4</v>
      </c>
      <c r="I53" s="5" t="inlineStr">
        <is>
          <t>Rückstrom INJ/IGN/GPPWM 3-4, Lambda-2-Heizung</t>
        </is>
      </c>
      <c r="J53" s="5">
        <f>IF(OR(G53="",H53=""),"",G53&amp;"-"&amp;H53)</f>
        <v/>
      </c>
      <c r="K53" s="5">
        <f>IF(A53="","",IF(J53="","nicht belegt",IF(COUNTIF($J$2:$J$150,J53)&gt;1,"DOPPELT",IF(OR(H53&lt;1,H53&gt;IF(G53="EGT",8,34)),"Pin ungültig","ok"))))</f>
        <v/>
      </c>
      <c r="L53" s="7" t="n"/>
      <c r="M53" s="8" t="n">
        <v>0.75</v>
      </c>
    </row>
    <row r="54">
      <c r="A54" s="5" t="inlineStr">
        <is>
          <t>Relais-Ausgang 1</t>
        </is>
      </c>
      <c r="B54" s="5" t="inlineStr">
        <is>
          <t>schwacher Low-Side 1</t>
        </is>
      </c>
      <c r="C54" s="5" t="inlineStr">
        <is>
          <t>/OUT_LS_HOT1</t>
        </is>
      </c>
      <c r="D54" s="5" t="inlineStr">
        <is>
          <t>MM100_IGN7 (PB9)</t>
        </is>
      </c>
      <c r="E54" s="5" t="inlineStr">
        <is>
          <t>Low-Side</t>
        </is>
      </c>
      <c r="F54" s="5" t="inlineStr">
        <is>
          <t>0,5 A</t>
        </is>
      </c>
      <c r="G54" s="6" t="inlineStr">
        <is>
          <t>A</t>
        </is>
      </c>
      <c r="H54" s="6" t="n">
        <v>33</v>
      </c>
      <c r="I54" s="5" t="inlineStr">
        <is>
          <t>nur Relais, keine Freilaufdiode</t>
        </is>
      </c>
      <c r="J54" s="5">
        <f>IF(OR(G54="",H54=""),"",G54&amp;"-"&amp;H54)</f>
        <v/>
      </c>
      <c r="K54" s="5">
        <f>IF(A54="","",IF(J54="","nicht belegt",IF(COUNTIF($J$2:$J$150,J54)&gt;1,"DOPPELT",IF(OR(H54&lt;1,H54&gt;IF(G54="EGT",8,34)),"Pin ungültig","ok"))))</f>
        <v/>
      </c>
      <c r="L54" s="7" t="n"/>
      <c r="M54" s="8" t="n">
        <v>0.75</v>
      </c>
    </row>
    <row r="55">
      <c r="A55" s="5" t="inlineStr">
        <is>
          <t>Relais-Ausgang 2</t>
        </is>
      </c>
      <c r="B55" s="5" t="inlineStr">
        <is>
          <t>schwacher Low-Side 2</t>
        </is>
      </c>
      <c r="C55" s="5" t="inlineStr">
        <is>
          <t>/OUT_LS_HOT2</t>
        </is>
      </c>
      <c r="D55" s="5" t="inlineStr">
        <is>
          <t>MM100_IGN8 (PE6)</t>
        </is>
      </c>
      <c r="E55" s="5" t="inlineStr">
        <is>
          <t>Low-Side</t>
        </is>
      </c>
      <c r="F55" s="5" t="inlineStr">
        <is>
          <t>0,5 A</t>
        </is>
      </c>
      <c r="G55" s="6" t="inlineStr">
        <is>
          <t>B</t>
        </is>
      </c>
      <c r="H55" s="6" t="n">
        <v>12</v>
      </c>
      <c r="I55" s="5" t="inlineStr">
        <is>
          <t>nur Relais, keine Freilaufdiode</t>
        </is>
      </c>
      <c r="J55" s="5">
        <f>IF(OR(G55="",H55=""),"",G55&amp;"-"&amp;H55)</f>
        <v/>
      </c>
      <c r="K55" s="5">
        <f>IF(A55="","",IF(J55="","nicht belegt",IF(COUNTIF($J$2:$J$150,J55)&gt;1,"DOPPELT",IF(OR(H55&lt;1,H55&gt;IF(G55="EGT",8,34)),"Pin ungültig","ok"))))</f>
        <v/>
      </c>
      <c r="L55" s="7" t="n"/>
      <c r="M55" s="8" t="n">
        <v>0.75</v>
      </c>
    </row>
    <row r="56">
      <c r="A56" s="5" t="inlineStr">
        <is>
          <t>Zusatz-Sensoren</t>
        </is>
      </c>
      <c r="B56" s="5" t="inlineStr">
        <is>
          <t>TPS2</t>
        </is>
      </c>
      <c r="C56" s="5" t="inlineStr">
        <is>
          <t>/IN_TPS2</t>
        </is>
      </c>
      <c r="D56" s="5" t="inlineStr">
        <is>
          <t>MM100_IN_AUX1 (PB0)</t>
        </is>
      </c>
      <c r="E56" s="5" t="inlineStr">
        <is>
          <t>Analog 0–5V</t>
        </is>
      </c>
      <c r="F56" s="5" t="inlineStr">
        <is>
          <t>-</t>
        </is>
      </c>
      <c r="G56" s="6" t="inlineStr">
        <is>
          <t>B</t>
        </is>
      </c>
      <c r="H56" s="6" t="n">
        <v>13</v>
      </c>
      <c r="I56" s="5" t="inlineStr"/>
      <c r="J56" s="5">
        <f>IF(OR(G56="",H56=""),"",G56&amp;"-"&amp;H56)</f>
        <v/>
      </c>
      <c r="K56" s="5">
        <f>IF(A56="","",IF(J56="","nicht belegt",IF(COUNTIF($J$2:$J$150,J56)&gt;1,"DOPPELT",IF(OR(H56&lt;1,H56&gt;IF(G56="EGT",8,34)),"Pin ungültig","ok"))))</f>
        <v/>
      </c>
      <c r="L56" s="7" t="n"/>
      <c r="M56" s="8" t="n">
        <v>0.5</v>
      </c>
    </row>
    <row r="57">
      <c r="A57" s="5" t="inlineStr">
        <is>
          <t>Zusatz-Sensoren</t>
        </is>
      </c>
      <c r="B57" s="5" t="inlineStr">
        <is>
          <t>MAP</t>
        </is>
      </c>
      <c r="C57" s="5" t="inlineStr">
        <is>
          <t>/IN_MAP</t>
        </is>
      </c>
      <c r="D57" s="5" t="inlineStr">
        <is>
          <t>MM100_IN_MAP1 (PC0)</t>
        </is>
      </c>
      <c r="E57" s="5" t="inlineStr">
        <is>
          <t>Analog 0–5V</t>
        </is>
      </c>
      <c r="F57" s="5" t="inlineStr">
        <is>
          <t>-</t>
        </is>
      </c>
      <c r="G57" s="6" t="inlineStr">
        <is>
          <t>B</t>
        </is>
      </c>
      <c r="H57" s="6" t="n">
        <v>14</v>
      </c>
      <c r="I57" s="5" t="inlineStr">
        <is>
          <t>Baro kommt vom MAP-Sensor auf der Platine</t>
        </is>
      </c>
      <c r="J57" s="5">
        <f>IF(OR(G57="",H57=""),"",G57&amp;"-"&amp;H57)</f>
        <v/>
      </c>
      <c r="K57" s="5">
        <f>IF(A57="","",IF(J57="","nicht belegt",IF(COUNTIF($J$2:$J$150,J57)&gt;1,"DOPPELT",IF(OR(H57&lt;1,H57&gt;IF(G57="EGT",8,34)),"Pin ungültig","ok"))))</f>
        <v/>
      </c>
      <c r="L57" s="7" t="n"/>
      <c r="M57" s="8" t="n">
        <v>0.5</v>
      </c>
    </row>
    <row r="58">
      <c r="A58" s="5" t="inlineStr">
        <is>
          <t>Analog-Eingänge</t>
        </is>
      </c>
      <c r="B58" s="5" t="inlineStr">
        <is>
          <t>Analog 1</t>
        </is>
      </c>
      <c r="C58" s="5" t="inlineStr">
        <is>
          <t>/IN_AUX1</t>
        </is>
      </c>
      <c r="D58" s="5" t="inlineStr">
        <is>
          <t>MM100_IN_O2S (PA0)</t>
        </is>
      </c>
      <c r="E58" s="5" t="inlineStr">
        <is>
          <t>Analog 0–5V</t>
        </is>
      </c>
      <c r="F58" s="5" t="inlineStr">
        <is>
          <t>-</t>
        </is>
      </c>
      <c r="G58" s="6" t="inlineStr">
        <is>
          <t>B</t>
        </is>
      </c>
      <c r="H58" s="6" t="n">
        <v>15</v>
      </c>
      <c r="I58" s="5" t="inlineStr"/>
      <c r="J58" s="5">
        <f>IF(OR(G58="",H58=""),"",G58&amp;"-"&amp;H58)</f>
        <v/>
      </c>
      <c r="K58" s="5">
        <f>IF(A58="","",IF(J58="","nicht belegt",IF(COUNTIF($J$2:$J$150,J58)&gt;1,"DOPPELT",IF(OR(H58&lt;1,H58&gt;IF(G58="EGT",8,34)),"Pin ungültig","ok"))))</f>
        <v/>
      </c>
      <c r="L58" s="7" t="n"/>
      <c r="M58" s="8" t="n">
        <v>0.5</v>
      </c>
    </row>
    <row r="59">
      <c r="A59" s="5" t="inlineStr">
        <is>
          <t>Analog-Eingänge</t>
        </is>
      </c>
      <c r="B59" s="5" t="inlineStr">
        <is>
          <t>Analog 2</t>
        </is>
      </c>
      <c r="C59" s="5" t="inlineStr">
        <is>
          <t>/IN_AUX2</t>
        </is>
      </c>
      <c r="D59" s="5" t="inlineStr">
        <is>
          <t>MM100_IN_O2S2 (PA1)</t>
        </is>
      </c>
      <c r="E59" s="5" t="inlineStr">
        <is>
          <t>Analog 0–5V</t>
        </is>
      </c>
      <c r="F59" s="5" t="inlineStr">
        <is>
          <t>-</t>
        </is>
      </c>
      <c r="G59" s="6" t="inlineStr">
        <is>
          <t>B</t>
        </is>
      </c>
      <c r="H59" s="6" t="n">
        <v>16</v>
      </c>
      <c r="I59" s="5" t="inlineStr"/>
      <c r="J59" s="5">
        <f>IF(OR(G59="",H59=""),"",G59&amp;"-"&amp;H59)</f>
        <v/>
      </c>
      <c r="K59" s="5">
        <f>IF(A59="","",IF(J59="","nicht belegt",IF(COUNTIF($J$2:$J$150,J59)&gt;1,"DOPPELT",IF(OR(H59&lt;1,H59&gt;IF(G59="EGT",8,34)),"Pin ungültig","ok"))))</f>
        <v/>
      </c>
      <c r="L59" s="7" t="n"/>
      <c r="M59" s="8" t="n">
        <v>0.5</v>
      </c>
    </row>
    <row r="60">
      <c r="A60" s="5" t="inlineStr">
        <is>
          <t>Analog-Eingänge</t>
        </is>
      </c>
      <c r="B60" s="5" t="inlineStr">
        <is>
          <t>Analog 3</t>
        </is>
      </c>
      <c r="C60" s="5" t="inlineStr">
        <is>
          <t>/IN_PPS1</t>
        </is>
      </c>
      <c r="D60" s="5" t="inlineStr">
        <is>
          <t>MM100_IN_PPS (PA3)</t>
        </is>
      </c>
      <c r="E60" s="5" t="inlineStr">
        <is>
          <t>Analog 0–5V</t>
        </is>
      </c>
      <c r="F60" s="5" t="inlineStr">
        <is>
          <t>-</t>
        </is>
      </c>
      <c r="G60" s="6" t="inlineStr">
        <is>
          <t>B</t>
        </is>
      </c>
      <c r="H60" s="6" t="n">
        <v>17</v>
      </c>
      <c r="I60" s="5" t="inlineStr"/>
      <c r="J60" s="5">
        <f>IF(OR(G60="",H60=""),"",G60&amp;"-"&amp;H60)</f>
        <v/>
      </c>
      <c r="K60" s="5">
        <f>IF(A60="","",IF(J60="","nicht belegt",IF(COUNTIF($J$2:$J$150,J60)&gt;1,"DOPPELT",IF(OR(H60&lt;1,H60&gt;IF(G60="EGT",8,34)),"Pin ungültig","ok"))))</f>
        <v/>
      </c>
      <c r="L60" s="7" t="n"/>
      <c r="M60" s="8" t="n">
        <v>0.5</v>
      </c>
    </row>
    <row r="61">
      <c r="A61" s="5" t="inlineStr">
        <is>
          <t>Analog-Eingänge</t>
        </is>
      </c>
      <c r="B61" s="5" t="inlineStr">
        <is>
          <t>Analog 4</t>
        </is>
      </c>
      <c r="C61" s="5" t="inlineStr">
        <is>
          <t>/IN_PPS2</t>
        </is>
      </c>
      <c r="D61" s="5" t="inlineStr">
        <is>
          <t>MM100_IN_AUX2 (PC4)</t>
        </is>
      </c>
      <c r="E61" s="5" t="inlineStr">
        <is>
          <t>Analog 0–5V</t>
        </is>
      </c>
      <c r="F61" s="5" t="inlineStr">
        <is>
          <t>-</t>
        </is>
      </c>
      <c r="G61" s="6" t="inlineStr">
        <is>
          <t>B</t>
        </is>
      </c>
      <c r="H61" s="6" t="n">
        <v>18</v>
      </c>
      <c r="I61" s="5" t="inlineStr"/>
      <c r="J61" s="5">
        <f>IF(OR(G61="",H61=""),"",G61&amp;"-"&amp;H61)</f>
        <v/>
      </c>
      <c r="K61" s="5">
        <f>IF(A61="","",IF(J61="","nicht belegt",IF(COUNTIF($J$2:$J$150,J61)&gt;1,"DOPPELT",IF(OR(H61&lt;1,H61&gt;IF(G61="EGT",8,34)),"Pin ungültig","ok"))))</f>
        <v/>
      </c>
      <c r="L61" s="7" t="n"/>
      <c r="M61" s="8" t="n">
        <v>0.5</v>
      </c>
    </row>
    <row r="62">
      <c r="A62" s="5" t="inlineStr">
        <is>
          <t>Analog-Eingänge</t>
        </is>
      </c>
      <c r="B62" s="5" t="inlineStr">
        <is>
          <t>Analog 5</t>
        </is>
      </c>
      <c r="C62" s="5" t="inlineStr">
        <is>
          <t>/IN_AUX3</t>
        </is>
      </c>
      <c r="D62" s="5" t="inlineStr">
        <is>
          <t>MM100_IN_AUX3 (PA7)</t>
        </is>
      </c>
      <c r="E62" s="5" t="inlineStr">
        <is>
          <t>Analog 0–5V</t>
        </is>
      </c>
      <c r="F62" s="5" t="inlineStr">
        <is>
          <t>-</t>
        </is>
      </c>
      <c r="G62" s="6" t="inlineStr">
        <is>
          <t>B</t>
        </is>
      </c>
      <c r="H62" s="6" t="n">
        <v>11</v>
      </c>
      <c r="I62" s="5" t="inlineStr"/>
      <c r="J62" s="5">
        <f>IF(OR(G62="",H62=""),"",G62&amp;"-"&amp;H62)</f>
        <v/>
      </c>
      <c r="K62" s="5">
        <f>IF(A62="","",IF(J62="","nicht belegt",IF(COUNTIF($J$2:$J$150,J62)&gt;1,"DOPPELT",IF(OR(H62&lt;1,H62&gt;IF(G62="EGT",8,34)),"Pin ungültig","ok"))))</f>
        <v/>
      </c>
      <c r="L62" s="7" t="n"/>
      <c r="M62" s="8" t="n">
        <v>0.5</v>
      </c>
    </row>
    <row r="63">
      <c r="A63" s="5" t="inlineStr">
        <is>
          <t>Hall 2-3</t>
        </is>
      </c>
      <c r="B63" s="5" t="inlineStr">
        <is>
          <t>Hall 2</t>
        </is>
      </c>
      <c r="C63" s="5" t="inlineStr">
        <is>
          <t>/IN_HALL2</t>
        </is>
      </c>
      <c r="D63" s="5" t="inlineStr">
        <is>
          <t>MM100_IN_D2 (PE13)</t>
        </is>
      </c>
      <c r="E63" s="5" t="inlineStr">
        <is>
          <t>Digital</t>
        </is>
      </c>
      <c r="F63" s="5" t="inlineStr">
        <is>
          <t>-</t>
        </is>
      </c>
      <c r="G63" s="6" t="inlineStr">
        <is>
          <t>B</t>
        </is>
      </c>
      <c r="H63" s="6" t="n">
        <v>19</v>
      </c>
      <c r="I63" s="5" t="inlineStr">
        <is>
          <t>4,7k Pull-up</t>
        </is>
      </c>
      <c r="J63" s="5">
        <f>IF(OR(G63="",H63=""),"",G63&amp;"-"&amp;H63)</f>
        <v/>
      </c>
      <c r="K63" s="5">
        <f>IF(A63="","",IF(J63="","nicht belegt",IF(COUNTIF($J$2:$J$150,J63)&gt;1,"DOPPELT",IF(OR(H63&lt;1,H63&gt;IF(G63="EGT",8,34)),"Pin ungültig","ok"))))</f>
        <v/>
      </c>
      <c r="L63" s="7" t="n"/>
      <c r="M63" s="8" t="n">
        <v>0.5</v>
      </c>
    </row>
    <row r="64">
      <c r="A64" s="5" t="inlineStr">
        <is>
          <t>Hall 2-3</t>
        </is>
      </c>
      <c r="B64" s="5" t="inlineStr">
        <is>
          <t>Hall 3 / Radsensor 1 (VSS)</t>
        </is>
      </c>
      <c r="C64" s="5" t="inlineStr">
        <is>
          <t>/IN_HALL3</t>
        </is>
      </c>
      <c r="D64" s="5" t="inlineStr">
        <is>
          <t>MM100_IN_D3 (PE14)</t>
        </is>
      </c>
      <c r="E64" s="5" t="inlineStr">
        <is>
          <t>Digital</t>
        </is>
      </c>
      <c r="F64" s="5" t="inlineStr">
        <is>
          <t>-</t>
        </is>
      </c>
      <c r="G64" s="6" t="inlineStr">
        <is>
          <t>B</t>
        </is>
      </c>
      <c r="H64" s="6" t="n">
        <v>20</v>
      </c>
      <c r="I64" s="5" t="inlineStr">
        <is>
          <t>4,7k Pull-up, in Firmware als VSS</t>
        </is>
      </c>
      <c r="J64" s="5">
        <f>IF(OR(G64="",H64=""),"",G64&amp;"-"&amp;H64)</f>
        <v/>
      </c>
      <c r="K64" s="5">
        <f>IF(A64="","",IF(J64="","nicht belegt",IF(COUNTIF($J$2:$J$150,J64)&gt;1,"DOPPELT",IF(OR(H64&lt;1,H64&gt;IF(G64="EGT",8,34)),"Pin ungültig","ok"))))</f>
        <v/>
      </c>
      <c r="L64" s="7" t="n"/>
      <c r="M64" s="8" t="n">
        <v>0.5</v>
      </c>
    </row>
    <row r="65">
      <c r="A65" s="5" t="inlineStr">
        <is>
          <t>Digital-Eingänge</t>
        </is>
      </c>
      <c r="B65" s="5" t="inlineStr">
        <is>
          <t>Flex</t>
        </is>
      </c>
      <c r="C65" s="5" t="inlineStr">
        <is>
          <t>/IN_FLEX</t>
        </is>
      </c>
      <c r="D65" s="5" t="inlineStr">
        <is>
          <t>MM100_IN_VSS (PE11)</t>
        </is>
      </c>
      <c r="E65" s="5" t="inlineStr">
        <is>
          <t>Digital</t>
        </is>
      </c>
      <c r="F65" s="5" t="inlineStr">
        <is>
          <t>-</t>
        </is>
      </c>
      <c r="G65" s="6" t="inlineStr">
        <is>
          <t>B</t>
        </is>
      </c>
      <c r="H65" s="6" t="n">
        <v>21</v>
      </c>
      <c r="I65" s="5" t="inlineStr">
        <is>
          <t>10k Pull-up</t>
        </is>
      </c>
      <c r="J65" s="5">
        <f>IF(OR(G65="",H65=""),"",G65&amp;"-"&amp;H65)</f>
        <v/>
      </c>
      <c r="K65" s="5">
        <f>IF(A65="","",IF(J65="","nicht belegt",IF(COUNTIF($J$2:$J$150,J65)&gt;1,"DOPPELT",IF(OR(H65&lt;1,H65&gt;IF(G65="EGT",8,34)),"Pin ungültig","ok"))))</f>
        <v/>
      </c>
      <c r="L65" s="7" t="n"/>
      <c r="M65" s="8" t="n">
        <v>0.5</v>
      </c>
    </row>
    <row r="66">
      <c r="A66" s="5" t="inlineStr">
        <is>
          <t>Digital-Eingänge</t>
        </is>
      </c>
      <c r="B66" s="5" t="inlineStr">
        <is>
          <t>Schalteingang 1</t>
        </is>
      </c>
      <c r="C66" s="5" t="inlineStr">
        <is>
          <t>/IN_BUTTON1</t>
        </is>
      </c>
      <c r="D66" s="5" t="inlineStr">
        <is>
          <t>MM100_IN_CRANK (PB1)</t>
        </is>
      </c>
      <c r="E66" s="5" t="inlineStr">
        <is>
          <t>Digital</t>
        </is>
      </c>
      <c r="F66" s="5" t="inlineStr">
        <is>
          <t>-</t>
        </is>
      </c>
      <c r="G66" s="6" t="inlineStr">
        <is>
          <t>B</t>
        </is>
      </c>
      <c r="H66" s="6" t="n">
        <v>22</v>
      </c>
      <c r="I66" s="5" t="inlineStr"/>
      <c r="J66" s="5">
        <f>IF(OR(G66="",H66=""),"",G66&amp;"-"&amp;H66)</f>
        <v/>
      </c>
      <c r="K66" s="5">
        <f>IF(A66="","",IF(J66="","nicht belegt",IF(COUNTIF($J$2:$J$150,J66)&gt;1,"DOPPELT",IF(OR(H66&lt;1,H66&gt;IF(G66="EGT",8,34)),"Pin ungültig","ok"))))</f>
        <v/>
      </c>
      <c r="L66" s="7" t="n"/>
      <c r="M66" s="8" t="n">
        <v>0.5</v>
      </c>
    </row>
    <row r="67">
      <c r="A67" s="5" t="inlineStr">
        <is>
          <t>Digital-Eingänge</t>
        </is>
      </c>
      <c r="B67" s="5" t="inlineStr">
        <is>
          <t>Radsensor 2 (Schalteingang 2)</t>
        </is>
      </c>
      <c r="C67" s="5" t="inlineStr">
        <is>
          <t>/IN_BUTTON2</t>
        </is>
      </c>
      <c r="D67" s="5" t="inlineStr">
        <is>
          <t>MM100_IN_CAM (PA6)</t>
        </is>
      </c>
      <c r="E67" s="5" t="inlineStr">
        <is>
          <t>Digital</t>
        </is>
      </c>
      <c r="F67" s="5" t="inlineStr">
        <is>
          <t>-</t>
        </is>
      </c>
      <c r="G67" s="6" t="inlineStr">
        <is>
          <t>B</t>
        </is>
      </c>
      <c r="H67" s="6" t="n">
        <v>28</v>
      </c>
      <c r="I67" s="5" t="inlineStr">
        <is>
          <t>für Hall-Radsensor R39 als Pull-up bestücken, R36 weglassen</t>
        </is>
      </c>
      <c r="J67" s="5">
        <f>IF(OR(G67="",H67=""),"",G67&amp;"-"&amp;H67)</f>
        <v/>
      </c>
      <c r="K67" s="5">
        <f>IF(A67="","",IF(J67="","nicht belegt",IF(COUNTIF($J$2:$J$150,J67)&gt;1,"DOPPELT",IF(OR(H67&lt;1,H67&gt;IF(G67="EGT",8,34)),"Pin ungültig","ok"))))</f>
        <v/>
      </c>
      <c r="L67" s="7" t="n"/>
      <c r="M67" s="8" t="n">
        <v>0.5</v>
      </c>
    </row>
    <row r="68">
      <c r="A68" s="5" t="inlineStr">
        <is>
          <t>Reserve Eingänge</t>
        </is>
      </c>
      <c r="B68" s="5" t="inlineStr">
        <is>
          <t>Schalteingang 3</t>
        </is>
      </c>
      <c r="C68" s="5" t="inlineStr">
        <is>
          <t>/IN_BUTTON3</t>
        </is>
      </c>
      <c r="D68" s="5" t="inlineStr">
        <is>
          <t>MM100_IN_D4 (PE15)</t>
        </is>
      </c>
      <c r="E68" s="5" t="inlineStr">
        <is>
          <t>Digital</t>
        </is>
      </c>
      <c r="F68" s="5" t="inlineStr">
        <is>
          <t>-</t>
        </is>
      </c>
      <c r="G68" s="6" t="n"/>
      <c r="H68" s="6" t="n"/>
      <c r="I68" s="5" t="inlineStr">
        <is>
          <t>kein Platz mehr</t>
        </is>
      </c>
      <c r="J68" s="5">
        <f>IF(OR(G68="",H68=""),"",G68&amp;"-"&amp;H68)</f>
        <v/>
      </c>
      <c r="K68" s="5">
        <f>IF(A68="","",IF(J68="","nicht belegt",IF(COUNTIF($J$2:$J$150,J68)&gt;1,"DOPPELT",IF(OR(H68&lt;1,H68&gt;IF(G68="EGT",8,34)),"Pin ungültig","ok"))))</f>
        <v/>
      </c>
      <c r="L68" s="7" t="n"/>
      <c r="M68" s="8" t="n"/>
    </row>
    <row r="69">
      <c r="A69" s="5" t="inlineStr">
        <is>
          <t>VR</t>
        </is>
      </c>
      <c r="B69" s="5" t="inlineStr">
        <is>
          <t>VR1 + (diskret)</t>
        </is>
      </c>
      <c r="C69" s="5" t="inlineStr">
        <is>
          <t>/VR_DISCRETE+</t>
        </is>
      </c>
      <c r="D69" s="5" t="inlineStr">
        <is>
          <t>UART8_RX (PE0)</t>
        </is>
      </c>
      <c r="E69" s="5" t="inlineStr">
        <is>
          <t>VR</t>
        </is>
      </c>
      <c r="F69" s="5" t="inlineStr">
        <is>
          <t>-</t>
        </is>
      </c>
      <c r="G69" s="6" t="inlineStr">
        <is>
          <t>B</t>
        </is>
      </c>
      <c r="H69" s="6" t="n">
        <v>23</v>
      </c>
      <c r="I69" s="5" t="inlineStr"/>
      <c r="J69" s="5">
        <f>IF(OR(G69="",H69=""),"",G69&amp;"-"&amp;H69)</f>
        <v/>
      </c>
      <c r="K69" s="5">
        <f>IF(A69="","",IF(J69="","nicht belegt",IF(COUNTIF($J$2:$J$150,J69)&gt;1,"DOPPELT",IF(OR(H69&lt;1,H69&gt;IF(G69="EGT",8,34)),"Pin ungültig","ok"))))</f>
        <v/>
      </c>
      <c r="L69" s="7" t="n"/>
      <c r="M69" s="8" t="n">
        <v>0.5</v>
      </c>
    </row>
    <row r="70">
      <c r="A70" s="5" t="inlineStr">
        <is>
          <t>VR</t>
        </is>
      </c>
      <c r="B70" s="5" t="inlineStr">
        <is>
          <t>VR1 − (diskret)</t>
        </is>
      </c>
      <c r="C70" s="5" t="inlineStr">
        <is>
          <t>/VR_DISCRETE-</t>
        </is>
      </c>
      <c r="D70" s="5" t="inlineStr">
        <is>
          <t>-</t>
        </is>
      </c>
      <c r="E70" s="5" t="inlineStr">
        <is>
          <t>VR</t>
        </is>
      </c>
      <c r="F70" s="5" t="inlineStr">
        <is>
          <t>-</t>
        </is>
      </c>
      <c r="G70" s="6" t="inlineStr">
        <is>
          <t>B</t>
        </is>
      </c>
      <c r="H70" s="6" t="n">
        <v>24</v>
      </c>
      <c r="I70" s="5" t="inlineStr"/>
      <c r="J70" s="5">
        <f>IF(OR(G70="",H70=""),"",G70&amp;"-"&amp;H70)</f>
        <v/>
      </c>
      <c r="K70" s="5">
        <f>IF(A70="","",IF(J70="","nicht belegt",IF(COUNTIF($J$2:$J$150,J70)&gt;1,"DOPPELT",IF(OR(H70&lt;1,H70&gt;IF(G70="EGT",8,34)),"Pin ungültig","ok"))))</f>
        <v/>
      </c>
      <c r="L70" s="7" t="n"/>
      <c r="M70" s="8" t="n">
        <v>0.5</v>
      </c>
    </row>
    <row r="71">
      <c r="A71" s="5" t="inlineStr">
        <is>
          <t>VR</t>
        </is>
      </c>
      <c r="B71" s="5" t="inlineStr">
        <is>
          <t>VR2 + (MAX9924)</t>
        </is>
      </c>
      <c r="C71" s="5" t="inlineStr">
        <is>
          <t>/VR_MAX9924+</t>
        </is>
      </c>
      <c r="D71" s="5" t="inlineStr">
        <is>
          <t>UART8_TX (PE1)</t>
        </is>
      </c>
      <c r="E71" s="5" t="inlineStr">
        <is>
          <t>VR</t>
        </is>
      </c>
      <c r="F71" s="5" t="inlineStr">
        <is>
          <t>-</t>
        </is>
      </c>
      <c r="G71" s="6" t="inlineStr">
        <is>
          <t>B</t>
        </is>
      </c>
      <c r="H71" s="6" t="n">
        <v>25</v>
      </c>
      <c r="I71" s="5" t="inlineStr"/>
      <c r="J71" s="5">
        <f>IF(OR(G71="",H71=""),"",G71&amp;"-"&amp;H71)</f>
        <v/>
      </c>
      <c r="K71" s="5">
        <f>IF(A71="","",IF(J71="","nicht belegt",IF(COUNTIF($J$2:$J$150,J71)&gt;1,"DOPPELT",IF(OR(H71&lt;1,H71&gt;IF(G71="EGT",8,34)),"Pin ungültig","ok"))))</f>
        <v/>
      </c>
      <c r="L71" s="7" t="n"/>
      <c r="M71" s="8" t="n">
        <v>0.5</v>
      </c>
    </row>
    <row r="72">
      <c r="A72" s="5" t="inlineStr">
        <is>
          <t>VR</t>
        </is>
      </c>
      <c r="B72" s="5" t="inlineStr">
        <is>
          <t>VR2 − (MAX9924)</t>
        </is>
      </c>
      <c r="C72" s="5" t="inlineStr">
        <is>
          <t>/VR_MAX9924-</t>
        </is>
      </c>
      <c r="D72" s="5" t="inlineStr">
        <is>
          <t>-</t>
        </is>
      </c>
      <c r="E72" s="5" t="inlineStr">
        <is>
          <t>VR</t>
        </is>
      </c>
      <c r="F72" s="5" t="inlineStr">
        <is>
          <t>-</t>
        </is>
      </c>
      <c r="G72" s="6" t="inlineStr">
        <is>
          <t>B</t>
        </is>
      </c>
      <c r="H72" s="6" t="n">
        <v>26</v>
      </c>
      <c r="I72" s="5" t="inlineStr"/>
      <c r="J72" s="5">
        <f>IF(OR(G72="",H72=""),"",G72&amp;"-"&amp;H72)</f>
        <v/>
      </c>
      <c r="K72" s="5">
        <f>IF(A72="","",IF(J72="","nicht belegt",IF(COUNTIF($J$2:$J$150,J72)&gt;1,"DOPPELT",IF(OR(H72&lt;1,H72&gt;IF(G72="EGT",8,34)),"Pin ungültig","ok"))))</f>
        <v/>
      </c>
      <c r="L72" s="7" t="n"/>
      <c r="M72" s="8" t="n">
        <v>0.5</v>
      </c>
    </row>
    <row r="73">
      <c r="A73" s="5" t="inlineStr">
        <is>
          <t>VR</t>
        </is>
      </c>
      <c r="B73" s="5" t="inlineStr">
        <is>
          <t>VR Schirm</t>
        </is>
      </c>
      <c r="C73" s="5" t="inlineStr">
        <is>
          <t>GND</t>
        </is>
      </c>
      <c r="D73" s="5" t="inlineStr">
        <is>
          <t>-</t>
        </is>
      </c>
      <c r="E73" s="5" t="inlineStr">
        <is>
          <t>Masse</t>
        </is>
      </c>
      <c r="F73" s="5" t="inlineStr">
        <is>
          <t>-</t>
        </is>
      </c>
      <c r="G73" s="6" t="inlineStr">
        <is>
          <t>B</t>
        </is>
      </c>
      <c r="H73" s="6" t="n">
        <v>27</v>
      </c>
      <c r="I73" s="5" t="inlineStr"/>
      <c r="J73" s="5">
        <f>IF(OR(G73="",H73=""),"",G73&amp;"-"&amp;H73)</f>
        <v/>
      </c>
      <c r="K73" s="5">
        <f>IF(A73="","",IF(J73="","nicht belegt",IF(COUNTIF($J$2:$J$150,J73)&gt;1,"DOPPELT",IF(OR(H73&lt;1,H73&gt;IF(G73="EGT",8,34)),"Pin ungültig","ok"))))</f>
        <v/>
      </c>
      <c r="L73" s="7" t="n"/>
      <c r="M73" s="8" t="n">
        <v>0.5</v>
      </c>
    </row>
    <row r="74">
      <c r="A74" s="5" t="inlineStr">
        <is>
          <t>Klopfsensor</t>
        </is>
      </c>
      <c r="B74" s="5" t="inlineStr">
        <is>
          <t>Klopfsensor</t>
        </is>
      </c>
      <c r="C74" s="5" t="inlineStr">
        <is>
          <t>/IN_KNOCK_RAW</t>
        </is>
      </c>
      <c r="D74" s="5" t="inlineStr">
        <is>
          <t>Klopfmodul M2 → PA2</t>
        </is>
      </c>
      <c r="E74" s="5" t="inlineStr">
        <is>
          <t>Analog</t>
        </is>
      </c>
      <c r="F74" s="5" t="inlineStr">
        <is>
          <t>-</t>
        </is>
      </c>
      <c r="G74" s="6" t="inlineStr">
        <is>
          <t>A</t>
        </is>
      </c>
      <c r="H74" s="6" t="n">
        <v>34</v>
      </c>
      <c r="I74" s="5" t="inlineStr">
        <is>
          <t>Schirm auf Sensormasse</t>
        </is>
      </c>
      <c r="J74" s="5">
        <f>IF(OR(G74="",H74=""),"",G74&amp;"-"&amp;H74)</f>
        <v/>
      </c>
      <c r="K74" s="5">
        <f>IF(A74="","",IF(J74="","nicht belegt",IF(COUNTIF($J$2:$J$150,J74)&gt;1,"DOPPELT",IF(OR(H74&lt;1,H74&gt;IF(G74="EGT",8,34)),"Pin ungültig","ok"))))</f>
        <v/>
      </c>
      <c r="L74" s="7" t="n"/>
      <c r="M74" s="8" t="n">
        <v>0.5</v>
      </c>
    </row>
    <row r="75">
      <c r="A75" s="5" t="inlineStr">
        <is>
          <t>EGT1</t>
        </is>
      </c>
      <c r="B75" s="5" t="inlineStr">
        <is>
          <t>EGT1 + (Chromel)</t>
        </is>
      </c>
      <c r="C75" s="5" t="inlineStr">
        <is>
          <t>/EGT+</t>
        </is>
      </c>
      <c r="D75" s="5" t="inlineStr">
        <is>
          <t>MAX31855, CS PA15</t>
        </is>
      </c>
      <c r="E75" s="5" t="inlineStr">
        <is>
          <t>Thermoelement Typ K</t>
        </is>
      </c>
      <c r="F75" s="5" t="inlineStr">
        <is>
          <t>-</t>
        </is>
      </c>
      <c r="G75" s="6" t="inlineStr">
        <is>
          <t>EGT</t>
        </is>
      </c>
      <c r="H75" s="6" t="n">
        <v>1</v>
      </c>
      <c r="I75" s="5" t="inlineStr">
        <is>
          <t>Mini-Buchse PCC-SMP-K</t>
        </is>
      </c>
      <c r="J75" s="5">
        <f>IF(OR(G75="",H75=""),"",G75&amp;"-"&amp;H75)</f>
        <v/>
      </c>
      <c r="K75" s="5">
        <f>IF(A75="","",IF(J75="","nicht belegt",IF(COUNTIF($J$2:$J$150,J75)&gt;1,"DOPPELT",IF(OR(H75&lt;1,H75&gt;IF(G75="EGT",8,34)),"Pin ungültig","ok"))))</f>
        <v/>
      </c>
      <c r="L75" s="7" t="n"/>
      <c r="M75" s="8" t="n"/>
    </row>
    <row r="76">
      <c r="A76" s="5" t="inlineStr">
        <is>
          <t>EGT1</t>
        </is>
      </c>
      <c r="B76" s="5" t="inlineStr">
        <is>
          <t>EGT1 − (Alumel)</t>
        </is>
      </c>
      <c r="C76" s="5" t="inlineStr">
        <is>
          <t>/EGT-</t>
        </is>
      </c>
      <c r="D76" s="5" t="inlineStr">
        <is>
          <t>MAX31855, CS PA15</t>
        </is>
      </c>
      <c r="E76" s="5" t="inlineStr">
        <is>
          <t>Thermoelement Typ K</t>
        </is>
      </c>
      <c r="F76" s="5" t="inlineStr">
        <is>
          <t>-</t>
        </is>
      </c>
      <c r="G76" s="6" t="inlineStr">
        <is>
          <t>EGT</t>
        </is>
      </c>
      <c r="H76" s="6" t="n">
        <v>2</v>
      </c>
      <c r="I76" s="5" t="inlineStr"/>
      <c r="J76" s="5">
        <f>IF(OR(G76="",H76=""),"",G76&amp;"-"&amp;H76)</f>
        <v/>
      </c>
      <c r="K76" s="5">
        <f>IF(A76="","",IF(J76="","nicht belegt",IF(COUNTIF($J$2:$J$150,J76)&gt;1,"DOPPELT",IF(OR(H76&lt;1,H76&gt;IF(G76="EGT",8,34)),"Pin ungültig","ok"))))</f>
        <v/>
      </c>
      <c r="L76" s="7" t="n"/>
      <c r="M76" s="8" t="n"/>
    </row>
    <row r="77">
      <c r="A77" s="5" t="inlineStr">
        <is>
          <t>EGT2</t>
        </is>
      </c>
      <c r="B77" s="5" t="inlineStr">
        <is>
          <t>EGT2 + (Chromel)</t>
        </is>
      </c>
      <c r="C77" s="5" t="inlineStr">
        <is>
          <t>/EGT2+</t>
        </is>
      </c>
      <c r="D77" s="5" t="inlineStr">
        <is>
          <t>MAX31855, CS PC7</t>
        </is>
      </c>
      <c r="E77" s="5" t="inlineStr">
        <is>
          <t>Thermoelement Typ K</t>
        </is>
      </c>
      <c r="F77" s="5" t="inlineStr">
        <is>
          <t>-</t>
        </is>
      </c>
      <c r="G77" s="6" t="inlineStr">
        <is>
          <t>EGT</t>
        </is>
      </c>
      <c r="H77" s="6" t="n">
        <v>3</v>
      </c>
      <c r="I77" s="5" t="inlineStr">
        <is>
          <t>Mini-Buchse PCC-SMP-K</t>
        </is>
      </c>
      <c r="J77" s="5">
        <f>IF(OR(G77="",H77=""),"",G77&amp;"-"&amp;H77)</f>
        <v/>
      </c>
      <c r="K77" s="5">
        <f>IF(A77="","",IF(J77="","nicht belegt",IF(COUNTIF($J$2:$J$150,J77)&gt;1,"DOPPELT",IF(OR(H77&lt;1,H77&gt;IF(G77="EGT",8,34)),"Pin ungültig","ok"))))</f>
        <v/>
      </c>
      <c r="L77" s="7" t="n"/>
      <c r="M77" s="8" t="n"/>
    </row>
    <row r="78">
      <c r="A78" s="5" t="inlineStr">
        <is>
          <t>EGT2</t>
        </is>
      </c>
      <c r="B78" s="5" t="inlineStr">
        <is>
          <t>EGT2 − (Alumel)</t>
        </is>
      </c>
      <c r="C78" s="5" t="inlineStr">
        <is>
          <t>/EGT2-</t>
        </is>
      </c>
      <c r="D78" s="5" t="inlineStr">
        <is>
          <t>MAX31855, CS PC7</t>
        </is>
      </c>
      <c r="E78" s="5" t="inlineStr">
        <is>
          <t>Thermoelement Typ K</t>
        </is>
      </c>
      <c r="F78" s="5" t="inlineStr">
        <is>
          <t>-</t>
        </is>
      </c>
      <c r="G78" s="6" t="inlineStr">
        <is>
          <t>EGT</t>
        </is>
      </c>
      <c r="H78" s="6" t="n">
        <v>4</v>
      </c>
      <c r="I78" s="5" t="inlineStr"/>
      <c r="J78" s="5">
        <f>IF(OR(G78="",H78=""),"",G78&amp;"-"&amp;H78)</f>
        <v/>
      </c>
      <c r="K78" s="5">
        <f>IF(A78="","",IF(J78="","nicht belegt",IF(COUNTIF($J$2:$J$150,J78)&gt;1,"DOPPELT",IF(OR(H78&lt;1,H78&gt;IF(G78="EGT",8,34)),"Pin ungültig","ok"))))</f>
        <v/>
      </c>
      <c r="L78" s="7" t="n"/>
      <c r="M78" s="8" t="n"/>
    </row>
    <row r="79">
      <c r="A79" s="5" t="inlineStr">
        <is>
          <t>EGT3</t>
        </is>
      </c>
      <c r="B79" s="5" t="inlineStr">
        <is>
          <t>EGT3 + (Chromel)</t>
        </is>
      </c>
      <c r="C79" s="5" t="inlineStr">
        <is>
          <t>/EGT3+</t>
        </is>
      </c>
      <c r="D79" s="5" t="inlineStr">
        <is>
          <t>MAX31855, CS PC8</t>
        </is>
      </c>
      <c r="E79" s="5" t="inlineStr">
        <is>
          <t>Thermoelement Typ K</t>
        </is>
      </c>
      <c r="F79" s="5" t="inlineStr">
        <is>
          <t>-</t>
        </is>
      </c>
      <c r="G79" s="6" t="inlineStr">
        <is>
          <t>EGT</t>
        </is>
      </c>
      <c r="H79" s="6" t="n">
        <v>5</v>
      </c>
      <c r="I79" s="5" t="inlineStr">
        <is>
          <t>Mini-Buchse PCC-SMP-K</t>
        </is>
      </c>
      <c r="J79" s="5">
        <f>IF(OR(G79="",H79=""),"",G79&amp;"-"&amp;H79)</f>
        <v/>
      </c>
      <c r="K79" s="5">
        <f>IF(A79="","",IF(J79="","nicht belegt",IF(COUNTIF($J$2:$J$150,J79)&gt;1,"DOPPELT",IF(OR(H79&lt;1,H79&gt;IF(G79="EGT",8,34)),"Pin ungültig","ok"))))</f>
        <v/>
      </c>
      <c r="L79" s="7" t="n"/>
      <c r="M79" s="8" t="n"/>
    </row>
    <row r="80">
      <c r="A80" s="5" t="inlineStr">
        <is>
          <t>EGT3</t>
        </is>
      </c>
      <c r="B80" s="5" t="inlineStr">
        <is>
          <t>EGT3 − (Alumel)</t>
        </is>
      </c>
      <c r="C80" s="5" t="inlineStr">
        <is>
          <t>/EGT3-</t>
        </is>
      </c>
      <c r="D80" s="5" t="inlineStr">
        <is>
          <t>MAX31855, CS PC8</t>
        </is>
      </c>
      <c r="E80" s="5" t="inlineStr">
        <is>
          <t>Thermoelement Typ K</t>
        </is>
      </c>
      <c r="F80" s="5" t="inlineStr">
        <is>
          <t>-</t>
        </is>
      </c>
      <c r="G80" s="6" t="inlineStr">
        <is>
          <t>EGT</t>
        </is>
      </c>
      <c r="H80" s="6" t="n">
        <v>6</v>
      </c>
      <c r="I80" s="5" t="inlineStr"/>
      <c r="J80" s="5">
        <f>IF(OR(G80="",H80=""),"",G80&amp;"-"&amp;H80)</f>
        <v/>
      </c>
      <c r="K80" s="5">
        <f>IF(A80="","",IF(J80="","nicht belegt",IF(COUNTIF($J$2:$J$150,J80)&gt;1,"DOPPELT",IF(OR(H80&lt;1,H80&gt;IF(G80="EGT",8,34)),"Pin ungültig","ok"))))</f>
        <v/>
      </c>
      <c r="L80" s="7" t="n"/>
      <c r="M80" s="8" t="n"/>
    </row>
    <row r="81">
      <c r="A81" s="5" t="inlineStr">
        <is>
          <t>EGT4</t>
        </is>
      </c>
      <c r="B81" s="5" t="inlineStr">
        <is>
          <t>EGT4 + (Chromel)</t>
        </is>
      </c>
      <c r="C81" s="5" t="inlineStr">
        <is>
          <t>/EGT4+</t>
        </is>
      </c>
      <c r="D81" s="5" t="inlineStr">
        <is>
          <t>MAX31855, CS PC9</t>
        </is>
      </c>
      <c r="E81" s="5" t="inlineStr">
        <is>
          <t>Thermoelement Typ K</t>
        </is>
      </c>
      <c r="F81" s="5" t="inlineStr">
        <is>
          <t>-</t>
        </is>
      </c>
      <c r="G81" s="6" t="inlineStr">
        <is>
          <t>EGT</t>
        </is>
      </c>
      <c r="H81" s="6" t="n">
        <v>7</v>
      </c>
      <c r="I81" s="5" t="inlineStr">
        <is>
          <t>Mini-Buchse PCC-SMP-K</t>
        </is>
      </c>
      <c r="J81" s="5">
        <f>IF(OR(G81="",H81=""),"",G81&amp;"-"&amp;H81)</f>
        <v/>
      </c>
      <c r="K81" s="5">
        <f>IF(A81="","",IF(J81="","nicht belegt",IF(COUNTIF($J$2:$J$150,J81)&gt;1,"DOPPELT",IF(OR(H81&lt;1,H81&gt;IF(G81="EGT",8,34)),"Pin ungültig","ok"))))</f>
        <v/>
      </c>
      <c r="L81" s="7" t="n"/>
      <c r="M81" s="8" t="n"/>
    </row>
    <row r="82">
      <c r="A82" s="5" t="inlineStr">
        <is>
          <t>EGT4</t>
        </is>
      </c>
      <c r="B82" s="5" t="inlineStr">
        <is>
          <t>EGT4 − (Alumel)</t>
        </is>
      </c>
      <c r="C82" s="5" t="inlineStr">
        <is>
          <t>/EGT4-</t>
        </is>
      </c>
      <c r="D82" s="5" t="inlineStr">
        <is>
          <t>MAX31855, CS PC9</t>
        </is>
      </c>
      <c r="E82" s="5" t="inlineStr">
        <is>
          <t>Thermoelement Typ K</t>
        </is>
      </c>
      <c r="F82" s="5" t="inlineStr">
        <is>
          <t>-</t>
        </is>
      </c>
      <c r="G82" s="6" t="inlineStr">
        <is>
          <t>EGT</t>
        </is>
      </c>
      <c r="H82" s="6" t="n">
        <v>8</v>
      </c>
      <c r="I82" s="5" t="inlineStr"/>
      <c r="J82" s="5">
        <f>IF(OR(G82="",H82=""),"",G82&amp;"-"&amp;H82)</f>
        <v/>
      </c>
      <c r="K82" s="5">
        <f>IF(A82="","",IF(J82="","nicht belegt",IF(COUNTIF($J$2:$J$150,J82)&gt;1,"DOPPELT",IF(OR(H82&lt;1,H82&gt;IF(G82="EGT",8,34)),"Pin ungültig","ok"))))</f>
        <v/>
      </c>
      <c r="L82" s="7" t="n"/>
      <c r="M82" s="8" t="n"/>
    </row>
    <row r="83">
      <c r="A83" s="5" t="inlineStr">
        <is>
          <t>Reserve MCU</t>
        </is>
      </c>
      <c r="B83" s="5" t="inlineStr">
        <is>
          <t>freier MCU-Pin PB14</t>
        </is>
      </c>
      <c r="C83" s="5" t="inlineStr">
        <is>
          <t>/DC1_DIS</t>
        </is>
      </c>
      <c r="D83" s="5" t="inlineStr">
        <is>
          <t>PB14</t>
        </is>
      </c>
      <c r="E83" s="5" t="inlineStr">
        <is>
          <t>GPIO</t>
        </is>
      </c>
      <c r="F83" s="5" t="inlineStr">
        <is>
          <t>-</t>
        </is>
      </c>
      <c r="G83" s="6" t="n"/>
      <c r="H83" s="6" t="n"/>
      <c r="I83" s="5" t="inlineStr">
        <is>
          <t>war E-Gas-Treiber, jetzt frei</t>
        </is>
      </c>
      <c r="J83" s="5">
        <f>IF(OR(G83="",H83=""),"",G83&amp;"-"&amp;H83)</f>
        <v/>
      </c>
      <c r="K83" s="5">
        <f>IF(A83="","",IF(J83="","nicht belegt",IF(COUNTIF($J$2:$J$150,J83)&gt;1,"DOPPELT",IF(OR(H83&lt;1,H83&gt;IF(G83="EGT",8,34)),"Pin ungültig","ok"))))</f>
        <v/>
      </c>
      <c r="L83" s="7" t="n"/>
      <c r="M83" s="8" t="n"/>
    </row>
    <row r="84">
      <c r="A84" s="5" t="inlineStr">
        <is>
          <t>Reserve MCU</t>
        </is>
      </c>
      <c r="B84" s="5" t="inlineStr">
        <is>
          <t>freier MCU-Pin PB15</t>
        </is>
      </c>
      <c r="C84" s="5" t="inlineStr">
        <is>
          <t>/DC2_DIR</t>
        </is>
      </c>
      <c r="D84" s="5" t="inlineStr">
        <is>
          <t>PB15</t>
        </is>
      </c>
      <c r="E84" s="5" t="inlineStr">
        <is>
          <t>GPIO</t>
        </is>
      </c>
      <c r="F84" s="5" t="inlineStr">
        <is>
          <t>-</t>
        </is>
      </c>
      <c r="G84" s="6" t="n"/>
      <c r="H84" s="6" t="n"/>
      <c r="I84" s="5" t="inlineStr">
        <is>
          <t>war E-Gas-Treiber, jetzt frei</t>
        </is>
      </c>
      <c r="J84" s="5">
        <f>IF(OR(G84="",H84=""),"",G84&amp;"-"&amp;H84)</f>
        <v/>
      </c>
      <c r="K84" s="5">
        <f>IF(A84="","",IF(J84="","nicht belegt",IF(COUNTIF($J$2:$J$150,J84)&gt;1,"DOPPELT",IF(OR(H84&lt;1,H84&gt;IF(G84="EGT",8,34)),"Pin ungültig","ok"))))</f>
        <v/>
      </c>
      <c r="L84" s="7" t="n"/>
      <c r="M84" s="8" t="n"/>
    </row>
    <row r="85">
      <c r="A85" s="5" t="inlineStr">
        <is>
          <t>Reserve MCU</t>
        </is>
      </c>
      <c r="B85" s="5" t="inlineStr">
        <is>
          <t>freier MCU-Pin PA10</t>
        </is>
      </c>
      <c r="C85" s="5" t="inlineStr">
        <is>
          <t>/DC2_DIS</t>
        </is>
      </c>
      <c r="D85" s="5" t="inlineStr">
        <is>
          <t>PA10</t>
        </is>
      </c>
      <c r="E85" s="5" t="inlineStr">
        <is>
          <t>GPIO</t>
        </is>
      </c>
      <c r="F85" s="5" t="inlineStr">
        <is>
          <t>-</t>
        </is>
      </c>
      <c r="G85" s="6" t="n"/>
      <c r="H85" s="6" t="n"/>
      <c r="I85" s="5" t="inlineStr">
        <is>
          <t>war E-Gas-Treiber, jetzt frei</t>
        </is>
      </c>
      <c r="J85" s="5">
        <f>IF(OR(G85="",H85=""),"",G85&amp;"-"&amp;H85)</f>
        <v/>
      </c>
      <c r="K85" s="5">
        <f>IF(A85="","",IF(J85="","nicht belegt",IF(COUNTIF($J$2:$J$150,J85)&gt;1,"DOPPELT",IF(OR(H85&lt;1,H85&gt;IF(G85="EGT",8,34)),"Pin ungültig","ok"))))</f>
        <v/>
      </c>
      <c r="L85" s="7" t="n"/>
      <c r="M85" s="8" t="n"/>
    </row>
    <row r="86">
      <c r="A86" s="9" t="n"/>
      <c r="B86" s="9" t="n"/>
      <c r="C86" s="9" t="n"/>
      <c r="D86" s="9" t="n"/>
      <c r="E86" s="9" t="n"/>
      <c r="F86" s="9" t="n"/>
      <c r="G86" s="10" t="n"/>
      <c r="H86" s="10" t="n"/>
      <c r="I86" s="9" t="n"/>
      <c r="J86" s="9">
        <f>IF(OR(G86="",H86=""),"",G86&amp;"-"&amp;H86)</f>
        <v/>
      </c>
      <c r="K86" s="9">
        <f>IF(A86="","",IF(J86="","nicht belegt",IF(COUNTIF($J$2:$J$150,J86)&gt;1,"DOPPELT",IF(OR(H86&lt;1,H86&gt;IF(G86="EGT",8,34)),"Pin ungültig","ok"))))</f>
        <v/>
      </c>
      <c r="L86" s="11" t="n"/>
      <c r="M86" s="12" t="n"/>
    </row>
    <row r="87">
      <c r="A87" s="9" t="n"/>
      <c r="B87" s="9" t="n"/>
      <c r="C87" s="9" t="n"/>
      <c r="D87" s="9" t="n"/>
      <c r="E87" s="9" t="n"/>
      <c r="F87" s="9" t="n"/>
      <c r="G87" s="10" t="n"/>
      <c r="H87" s="10" t="n"/>
      <c r="I87" s="9" t="n"/>
      <c r="J87" s="9">
        <f>IF(OR(G87="",H87=""),"",G87&amp;"-"&amp;H87)</f>
        <v/>
      </c>
      <c r="K87" s="9">
        <f>IF(A87="","",IF(J87="","nicht belegt",IF(COUNTIF($J$2:$J$150,J87)&gt;1,"DOPPELT",IF(OR(H87&lt;1,H87&gt;IF(G87="EGT",8,34)),"Pin ungültig","ok"))))</f>
        <v/>
      </c>
      <c r="L87" s="11" t="n"/>
      <c r="M87" s="12" t="n"/>
    </row>
    <row r="88">
      <c r="A88" s="9" t="n"/>
      <c r="B88" s="9" t="n"/>
      <c r="C88" s="9" t="n"/>
      <c r="D88" s="9" t="n"/>
      <c r="E88" s="9" t="n"/>
      <c r="F88" s="9" t="n"/>
      <c r="G88" s="10" t="n"/>
      <c r="H88" s="10" t="n"/>
      <c r="I88" s="9" t="n"/>
      <c r="J88" s="9">
        <f>IF(OR(G88="",H88=""),"",G88&amp;"-"&amp;H88)</f>
        <v/>
      </c>
      <c r="K88" s="9">
        <f>IF(A88="","",IF(J88="","nicht belegt",IF(COUNTIF($J$2:$J$150,J88)&gt;1,"DOPPELT",IF(OR(H88&lt;1,H88&gt;IF(G88="EGT",8,34)),"Pin ungültig","ok"))))</f>
        <v/>
      </c>
      <c r="L88" s="11" t="n"/>
      <c r="M88" s="12" t="n"/>
    </row>
    <row r="89">
      <c r="A89" s="9" t="n"/>
      <c r="B89" s="9" t="n"/>
      <c r="C89" s="9" t="n"/>
      <c r="D89" s="9" t="n"/>
      <c r="E89" s="9" t="n"/>
      <c r="F89" s="9" t="n"/>
      <c r="G89" s="10" t="n"/>
      <c r="H89" s="10" t="n"/>
      <c r="I89" s="9" t="n"/>
      <c r="J89" s="9">
        <f>IF(OR(G89="",H89=""),"",G89&amp;"-"&amp;H89)</f>
        <v/>
      </c>
      <c r="K89" s="9">
        <f>IF(A89="","",IF(J89="","nicht belegt",IF(COUNTIF($J$2:$J$150,J89)&gt;1,"DOPPELT",IF(OR(H89&lt;1,H89&gt;IF(G89="EGT",8,34)),"Pin ungültig","ok"))))</f>
        <v/>
      </c>
      <c r="L89" s="11" t="n"/>
      <c r="M89" s="12" t="n"/>
    </row>
    <row r="90">
      <c r="A90" s="9" t="n"/>
      <c r="B90" s="9" t="n"/>
      <c r="C90" s="9" t="n"/>
      <c r="D90" s="9" t="n"/>
      <c r="E90" s="9" t="n"/>
      <c r="F90" s="9" t="n"/>
      <c r="G90" s="10" t="n"/>
      <c r="H90" s="10" t="n"/>
      <c r="I90" s="9" t="n"/>
      <c r="J90" s="9">
        <f>IF(OR(G90="",H90=""),"",G90&amp;"-"&amp;H90)</f>
        <v/>
      </c>
      <c r="K90" s="9">
        <f>IF(A90="","",IF(J90="","nicht belegt",IF(COUNTIF($J$2:$J$150,J90)&gt;1,"DOPPELT",IF(OR(H90&lt;1,H90&gt;IF(G90="EGT",8,34)),"Pin ungültig","ok"))))</f>
        <v/>
      </c>
      <c r="L90" s="11" t="n"/>
      <c r="M90" s="12" t="n"/>
    </row>
    <row r="91">
      <c r="A91" s="9" t="n"/>
      <c r="B91" s="9" t="n"/>
      <c r="C91" s="9" t="n"/>
      <c r="D91" s="9" t="n"/>
      <c r="E91" s="9" t="n"/>
      <c r="F91" s="9" t="n"/>
      <c r="G91" s="10" t="n"/>
      <c r="H91" s="10" t="n"/>
      <c r="I91" s="9" t="n"/>
      <c r="J91" s="9">
        <f>IF(OR(G91="",H91=""),"",G91&amp;"-"&amp;H91)</f>
        <v/>
      </c>
      <c r="K91" s="9">
        <f>IF(A91="","",IF(J91="","nicht belegt",IF(COUNTIF($J$2:$J$150,J91)&gt;1,"DOPPELT",IF(OR(H91&lt;1,H91&gt;IF(G91="EGT",8,34)),"Pin ungültig","ok"))))</f>
        <v/>
      </c>
      <c r="L91" s="11" t="n"/>
      <c r="M91" s="12" t="n"/>
    </row>
    <row r="92">
      <c r="A92" s="9" t="n"/>
      <c r="B92" s="9" t="n"/>
      <c r="C92" s="9" t="n"/>
      <c r="D92" s="9" t="n"/>
      <c r="E92" s="9" t="n"/>
      <c r="F92" s="9" t="n"/>
      <c r="G92" s="10" t="n"/>
      <c r="H92" s="10" t="n"/>
      <c r="I92" s="9" t="n"/>
      <c r="J92" s="9">
        <f>IF(OR(G92="",H92=""),"",G92&amp;"-"&amp;H92)</f>
        <v/>
      </c>
      <c r="K92" s="9">
        <f>IF(A92="","",IF(J92="","nicht belegt",IF(COUNTIF($J$2:$J$150,J92)&gt;1,"DOPPELT",IF(OR(H92&lt;1,H92&gt;IF(G92="EGT",8,34)),"Pin ungültig","ok"))))</f>
        <v/>
      </c>
      <c r="L92" s="11" t="n"/>
      <c r="M92" s="12" t="n"/>
    </row>
    <row r="93">
      <c r="A93" s="9" t="n"/>
      <c r="B93" s="9" t="n"/>
      <c r="C93" s="9" t="n"/>
      <c r="D93" s="9" t="n"/>
      <c r="E93" s="9" t="n"/>
      <c r="F93" s="9" t="n"/>
      <c r="G93" s="10" t="n"/>
      <c r="H93" s="10" t="n"/>
      <c r="I93" s="9" t="n"/>
      <c r="J93" s="9">
        <f>IF(OR(G93="",H93=""),"",G93&amp;"-"&amp;H93)</f>
        <v/>
      </c>
      <c r="K93" s="9">
        <f>IF(A93="","",IF(J93="","nicht belegt",IF(COUNTIF($J$2:$J$150,J93)&gt;1,"DOPPELT",IF(OR(H93&lt;1,H93&gt;IF(G93="EGT",8,34)),"Pin ungültig","ok"))))</f>
        <v/>
      </c>
      <c r="L93" s="11" t="n"/>
      <c r="M93" s="12" t="n"/>
    </row>
    <row r="94">
      <c r="A94" s="9" t="n"/>
      <c r="B94" s="9" t="n"/>
      <c r="C94" s="9" t="n"/>
      <c r="D94" s="9" t="n"/>
      <c r="E94" s="9" t="n"/>
      <c r="F94" s="9" t="n"/>
      <c r="G94" s="10" t="n"/>
      <c r="H94" s="10" t="n"/>
      <c r="I94" s="9" t="n"/>
      <c r="J94" s="9">
        <f>IF(OR(G94="",H94=""),"",G94&amp;"-"&amp;H94)</f>
        <v/>
      </c>
      <c r="K94" s="9">
        <f>IF(A94="","",IF(J94="","nicht belegt",IF(COUNTIF($J$2:$J$150,J94)&gt;1,"DOPPELT",IF(OR(H94&lt;1,H94&gt;IF(G94="EGT",8,34)),"Pin ungültig","ok"))))</f>
        <v/>
      </c>
      <c r="L94" s="11" t="n"/>
      <c r="M94" s="12" t="n"/>
    </row>
    <row r="95">
      <c r="A95" s="9" t="n"/>
      <c r="B95" s="9" t="n"/>
      <c r="C95" s="9" t="n"/>
      <c r="D95" s="9" t="n"/>
      <c r="E95" s="9" t="n"/>
      <c r="F95" s="9" t="n"/>
      <c r="G95" s="10" t="n"/>
      <c r="H95" s="10" t="n"/>
      <c r="I95" s="9" t="n"/>
      <c r="J95" s="9">
        <f>IF(OR(G95="",H95=""),"",G95&amp;"-"&amp;H95)</f>
        <v/>
      </c>
      <c r="K95" s="9">
        <f>IF(A95="","",IF(J95="","nicht belegt",IF(COUNTIF($J$2:$J$150,J95)&gt;1,"DOPPELT",IF(OR(H95&lt;1,H95&gt;IF(G95="EGT",8,34)),"Pin ungültig","ok"))))</f>
        <v/>
      </c>
      <c r="L95" s="11" t="n"/>
      <c r="M95" s="12" t="n"/>
    </row>
    <row r="96">
      <c r="A96" s="9" t="n"/>
      <c r="B96" s="9" t="n"/>
      <c r="C96" s="9" t="n"/>
      <c r="D96" s="9" t="n"/>
      <c r="E96" s="9" t="n"/>
      <c r="F96" s="9" t="n"/>
      <c r="G96" s="10" t="n"/>
      <c r="H96" s="10" t="n"/>
      <c r="I96" s="9" t="n"/>
      <c r="J96" s="9">
        <f>IF(OR(G96="",H96=""),"",G96&amp;"-"&amp;H96)</f>
        <v/>
      </c>
      <c r="K96" s="9">
        <f>IF(A96="","",IF(J96="","nicht belegt",IF(COUNTIF($J$2:$J$150,J96)&gt;1,"DOPPELT",IF(OR(H96&lt;1,H96&gt;IF(G96="EGT",8,34)),"Pin ungültig","ok"))))</f>
        <v/>
      </c>
      <c r="L96" s="11" t="n"/>
      <c r="M96" s="12" t="n"/>
    </row>
    <row r="97">
      <c r="A97" s="9" t="n"/>
      <c r="B97" s="9" t="n"/>
      <c r="C97" s="9" t="n"/>
      <c r="D97" s="9" t="n"/>
      <c r="E97" s="9" t="n"/>
      <c r="F97" s="9" t="n"/>
      <c r="G97" s="10" t="n"/>
      <c r="H97" s="10" t="n"/>
      <c r="I97" s="9" t="n"/>
      <c r="J97" s="9">
        <f>IF(OR(G97="",H97=""),"",G97&amp;"-"&amp;H97)</f>
        <v/>
      </c>
      <c r="K97" s="9">
        <f>IF(A97="","",IF(J97="","nicht belegt",IF(COUNTIF($J$2:$J$150,J97)&gt;1,"DOPPELT",IF(OR(H97&lt;1,H97&gt;IF(G97="EGT",8,34)),"Pin ungültig","ok"))))</f>
        <v/>
      </c>
      <c r="L97" s="11" t="n"/>
      <c r="M97" s="12" t="n"/>
    </row>
    <row r="98">
      <c r="A98" s="9" t="n"/>
      <c r="B98" s="9" t="n"/>
      <c r="C98" s="9" t="n"/>
      <c r="D98" s="9" t="n"/>
      <c r="E98" s="9" t="n"/>
      <c r="F98" s="9" t="n"/>
      <c r="G98" s="10" t="n"/>
      <c r="H98" s="10" t="n"/>
      <c r="I98" s="9" t="n"/>
      <c r="J98" s="9">
        <f>IF(OR(G98="",H98=""),"",G98&amp;"-"&amp;H98)</f>
        <v/>
      </c>
      <c r="K98" s="9">
        <f>IF(A98="","",IF(J98="","nicht belegt",IF(COUNTIF($J$2:$J$150,J98)&gt;1,"DOPPELT",IF(OR(H98&lt;1,H98&gt;IF(G98="EGT",8,34)),"Pin ungültig","ok"))))</f>
        <v/>
      </c>
      <c r="L98" s="11" t="n"/>
      <c r="M98" s="12" t="n"/>
    </row>
    <row r="99">
      <c r="A99" s="9" t="n"/>
      <c r="B99" s="9" t="n"/>
      <c r="C99" s="9" t="n"/>
      <c r="D99" s="9" t="n"/>
      <c r="E99" s="9" t="n"/>
      <c r="F99" s="9" t="n"/>
      <c r="G99" s="10" t="n"/>
      <c r="H99" s="10" t="n"/>
      <c r="I99" s="9" t="n"/>
      <c r="J99" s="9">
        <f>IF(OR(G99="",H99=""),"",G99&amp;"-"&amp;H99)</f>
        <v/>
      </c>
      <c r="K99" s="9">
        <f>IF(A99="","",IF(J99="","nicht belegt",IF(COUNTIF($J$2:$J$150,J99)&gt;1,"DOPPELT",IF(OR(H99&lt;1,H99&gt;IF(G99="EGT",8,34)),"Pin ungültig","ok"))))</f>
        <v/>
      </c>
      <c r="L99" s="11" t="n"/>
      <c r="M99" s="12" t="n"/>
    </row>
    <row r="100">
      <c r="A100" s="9" t="n"/>
      <c r="B100" s="9" t="n"/>
      <c r="C100" s="9" t="n"/>
      <c r="D100" s="9" t="n"/>
      <c r="E100" s="9" t="n"/>
      <c r="F100" s="9" t="n"/>
      <c r="G100" s="10" t="n"/>
      <c r="H100" s="10" t="n"/>
      <c r="I100" s="9" t="n"/>
      <c r="J100" s="9">
        <f>IF(OR(G100="",H100=""),"",G100&amp;"-"&amp;H100)</f>
        <v/>
      </c>
      <c r="K100" s="9">
        <f>IF(A100="","",IF(J100="","nicht belegt",IF(COUNTIF($J$2:$J$150,J100)&gt;1,"DOPPELT",IF(OR(H100&lt;1,H100&gt;IF(G100="EGT",8,34)),"Pin ungültig","ok"))))</f>
        <v/>
      </c>
      <c r="L100" s="11" t="n"/>
      <c r="M100" s="12" t="n"/>
    </row>
    <row r="101">
      <c r="A101" s="9" t="n"/>
      <c r="B101" s="9" t="n"/>
      <c r="C101" s="9" t="n"/>
      <c r="D101" s="9" t="n"/>
      <c r="E101" s="9" t="n"/>
      <c r="F101" s="9" t="n"/>
      <c r="G101" s="10" t="n"/>
      <c r="H101" s="10" t="n"/>
      <c r="I101" s="9" t="n"/>
      <c r="J101" s="9">
        <f>IF(OR(G101="",H101=""),"",G101&amp;"-"&amp;H101)</f>
        <v/>
      </c>
      <c r="K101" s="9">
        <f>IF(A101="","",IF(J101="","nicht belegt",IF(COUNTIF($J$2:$J$150,J101)&gt;1,"DOPPELT",IF(OR(H101&lt;1,H101&gt;IF(G101="EGT",8,34)),"Pin ungültig","ok"))))</f>
        <v/>
      </c>
      <c r="L101" s="11" t="n"/>
      <c r="M101" s="12" t="n"/>
    </row>
    <row r="102">
      <c r="A102" s="9" t="n"/>
      <c r="B102" s="9" t="n"/>
      <c r="C102" s="9" t="n"/>
      <c r="D102" s="9" t="n"/>
      <c r="E102" s="9" t="n"/>
      <c r="F102" s="9" t="n"/>
      <c r="G102" s="10" t="n"/>
      <c r="H102" s="10" t="n"/>
      <c r="I102" s="9" t="n"/>
      <c r="J102" s="9">
        <f>IF(OR(G102="",H102=""),"",G102&amp;"-"&amp;H102)</f>
        <v/>
      </c>
      <c r="K102" s="9">
        <f>IF(A102="","",IF(J102="","nicht belegt",IF(COUNTIF($J$2:$J$150,J102)&gt;1,"DOPPELT",IF(OR(H102&lt;1,H102&gt;IF(G102="EGT",8,34)),"Pin ungültig","ok"))))</f>
        <v/>
      </c>
      <c r="L102" s="11" t="n"/>
      <c r="M102" s="12" t="n"/>
    </row>
    <row r="103">
      <c r="A103" s="9" t="n"/>
      <c r="B103" s="9" t="n"/>
      <c r="C103" s="9" t="n"/>
      <c r="D103" s="9" t="n"/>
      <c r="E103" s="9" t="n"/>
      <c r="F103" s="9" t="n"/>
      <c r="G103" s="10" t="n"/>
      <c r="H103" s="10" t="n"/>
      <c r="I103" s="9" t="n"/>
      <c r="J103" s="9">
        <f>IF(OR(G103="",H103=""),"",G103&amp;"-"&amp;H103)</f>
        <v/>
      </c>
      <c r="K103" s="9">
        <f>IF(A103="","",IF(J103="","nicht belegt",IF(COUNTIF($J$2:$J$150,J103)&gt;1,"DOPPELT",IF(OR(H103&lt;1,H103&gt;IF(G103="EGT",8,34)),"Pin ungültig","ok"))))</f>
        <v/>
      </c>
      <c r="L103" s="11" t="n"/>
      <c r="M103" s="12" t="n"/>
    </row>
    <row r="104">
      <c r="A104" s="9" t="n"/>
      <c r="B104" s="9" t="n"/>
      <c r="C104" s="9" t="n"/>
      <c r="D104" s="9" t="n"/>
      <c r="E104" s="9" t="n"/>
      <c r="F104" s="9" t="n"/>
      <c r="G104" s="10" t="n"/>
      <c r="H104" s="10" t="n"/>
      <c r="I104" s="9" t="n"/>
      <c r="J104" s="9">
        <f>IF(OR(G104="",H104=""),"",G104&amp;"-"&amp;H104)</f>
        <v/>
      </c>
      <c r="K104" s="9">
        <f>IF(A104="","",IF(J104="","nicht belegt",IF(COUNTIF($J$2:$J$150,J104)&gt;1,"DOPPELT",IF(OR(H104&lt;1,H104&gt;IF(G104="EGT",8,34)),"Pin ungültig","ok"))))</f>
        <v/>
      </c>
      <c r="L104" s="11" t="n"/>
      <c r="M104" s="12" t="n"/>
    </row>
    <row r="105">
      <c r="A105" s="9" t="n"/>
      <c r="B105" s="9" t="n"/>
      <c r="C105" s="9" t="n"/>
      <c r="D105" s="9" t="n"/>
      <c r="E105" s="9" t="n"/>
      <c r="F105" s="9" t="n"/>
      <c r="G105" s="10" t="n"/>
      <c r="H105" s="10" t="n"/>
      <c r="I105" s="9" t="n"/>
      <c r="J105" s="9">
        <f>IF(OR(G105="",H105=""),"",G105&amp;"-"&amp;H105)</f>
        <v/>
      </c>
      <c r="K105" s="9">
        <f>IF(A105="","",IF(J105="","nicht belegt",IF(COUNTIF($J$2:$J$150,J105)&gt;1,"DOPPELT",IF(OR(H105&lt;1,H105&gt;IF(G105="EGT",8,34)),"Pin ungültig","ok"))))</f>
        <v/>
      </c>
      <c r="L105" s="11" t="n"/>
      <c r="M105" s="12" t="n"/>
    </row>
    <row r="106">
      <c r="A106" s="9" t="n"/>
      <c r="B106" s="9" t="n"/>
      <c r="C106" s="9" t="n"/>
      <c r="D106" s="9" t="n"/>
      <c r="E106" s="9" t="n"/>
      <c r="F106" s="9" t="n"/>
      <c r="G106" s="10" t="n"/>
      <c r="H106" s="10" t="n"/>
      <c r="I106" s="9" t="n"/>
      <c r="J106" s="9">
        <f>IF(OR(G106="",H106=""),"",G106&amp;"-"&amp;H106)</f>
        <v/>
      </c>
      <c r="K106" s="9">
        <f>IF(A106="","",IF(J106="","nicht belegt",IF(COUNTIF($J$2:$J$150,J106)&gt;1,"DOPPELT",IF(OR(H106&lt;1,H106&gt;IF(G106="EGT",8,34)),"Pin ungültig","ok"))))</f>
        <v/>
      </c>
      <c r="L106" s="11" t="n"/>
      <c r="M106" s="12" t="n"/>
    </row>
    <row r="107">
      <c r="A107" s="9" t="n"/>
      <c r="B107" s="9" t="n"/>
      <c r="C107" s="9" t="n"/>
      <c r="D107" s="9" t="n"/>
      <c r="E107" s="9" t="n"/>
      <c r="F107" s="9" t="n"/>
      <c r="G107" s="10" t="n"/>
      <c r="H107" s="10" t="n"/>
      <c r="I107" s="9" t="n"/>
      <c r="J107" s="9">
        <f>IF(OR(G107="",H107=""),"",G107&amp;"-"&amp;H107)</f>
        <v/>
      </c>
      <c r="K107" s="9">
        <f>IF(A107="","",IF(J107="","nicht belegt",IF(COUNTIF($J$2:$J$150,J107)&gt;1,"DOPPELT",IF(OR(H107&lt;1,H107&gt;IF(G107="EGT",8,34)),"Pin ungültig","ok"))))</f>
        <v/>
      </c>
      <c r="L107" s="11" t="n"/>
      <c r="M107" s="12" t="n"/>
    </row>
    <row r="108">
      <c r="A108" s="9" t="n"/>
      <c r="B108" s="9" t="n"/>
      <c r="C108" s="9" t="n"/>
      <c r="D108" s="9" t="n"/>
      <c r="E108" s="9" t="n"/>
      <c r="F108" s="9" t="n"/>
      <c r="G108" s="10" t="n"/>
      <c r="H108" s="10" t="n"/>
      <c r="I108" s="9" t="n"/>
      <c r="J108" s="9">
        <f>IF(OR(G108="",H108=""),"",G108&amp;"-"&amp;H108)</f>
        <v/>
      </c>
      <c r="K108" s="9">
        <f>IF(A108="","",IF(J108="","nicht belegt",IF(COUNTIF($J$2:$J$150,J108)&gt;1,"DOPPELT",IF(OR(H108&lt;1,H108&gt;IF(G108="EGT",8,34)),"Pin ungültig","ok"))))</f>
        <v/>
      </c>
      <c r="L108" s="11" t="n"/>
      <c r="M108" s="12" t="n"/>
    </row>
    <row r="109">
      <c r="A109" s="9" t="n"/>
      <c r="B109" s="9" t="n"/>
      <c r="C109" s="9" t="n"/>
      <c r="D109" s="9" t="n"/>
      <c r="E109" s="9" t="n"/>
      <c r="F109" s="9" t="n"/>
      <c r="G109" s="10" t="n"/>
      <c r="H109" s="10" t="n"/>
      <c r="I109" s="9" t="n"/>
      <c r="J109" s="9">
        <f>IF(OR(G109="",H109=""),"",G109&amp;"-"&amp;H109)</f>
        <v/>
      </c>
      <c r="K109" s="9">
        <f>IF(A109="","",IF(J109="","nicht belegt",IF(COUNTIF($J$2:$J$150,J109)&gt;1,"DOPPELT",IF(OR(H109&lt;1,H109&gt;IF(G109="EGT",8,34)),"Pin ungültig","ok"))))</f>
        <v/>
      </c>
      <c r="L109" s="11" t="n"/>
      <c r="M109" s="12" t="n"/>
    </row>
    <row r="110">
      <c r="A110" s="9" t="n"/>
      <c r="B110" s="9" t="n"/>
      <c r="C110" s="9" t="n"/>
      <c r="D110" s="9" t="n"/>
      <c r="E110" s="9" t="n"/>
      <c r="F110" s="9" t="n"/>
      <c r="G110" s="10" t="n"/>
      <c r="H110" s="10" t="n"/>
      <c r="I110" s="9" t="n"/>
      <c r="J110" s="9">
        <f>IF(OR(G110="",H110=""),"",G110&amp;"-"&amp;H110)</f>
        <v/>
      </c>
      <c r="K110" s="9">
        <f>IF(A110="","",IF(J110="","nicht belegt",IF(COUNTIF($J$2:$J$150,J110)&gt;1,"DOPPELT",IF(OR(H110&lt;1,H110&gt;IF(G110="EGT",8,34)),"Pin ungültig","ok"))))</f>
        <v/>
      </c>
      <c r="L110" s="11" t="n"/>
      <c r="M110" s="12" t="n"/>
    </row>
    <row r="111">
      <c r="A111" s="9" t="n"/>
      <c r="B111" s="9" t="n"/>
      <c r="C111" s="9" t="n"/>
      <c r="D111" s="9" t="n"/>
      <c r="E111" s="9" t="n"/>
      <c r="F111" s="9" t="n"/>
      <c r="G111" s="10" t="n"/>
      <c r="H111" s="10" t="n"/>
      <c r="I111" s="9" t="n"/>
      <c r="J111" s="9">
        <f>IF(OR(G111="",H111=""),"",G111&amp;"-"&amp;H111)</f>
        <v/>
      </c>
      <c r="K111" s="9">
        <f>IF(A111="","",IF(J111="","nicht belegt",IF(COUNTIF($J$2:$J$150,J111)&gt;1,"DOPPELT",IF(OR(H111&lt;1,H111&gt;IF(G111="EGT",8,34)),"Pin ungültig","ok"))))</f>
        <v/>
      </c>
      <c r="L111" s="11" t="n"/>
      <c r="M111" s="12" t="n"/>
    </row>
    <row r="112">
      <c r="A112" s="9" t="n"/>
      <c r="B112" s="9" t="n"/>
      <c r="C112" s="9" t="n"/>
      <c r="D112" s="9" t="n"/>
      <c r="E112" s="9" t="n"/>
      <c r="F112" s="9" t="n"/>
      <c r="G112" s="10" t="n"/>
      <c r="H112" s="10" t="n"/>
      <c r="I112" s="9" t="n"/>
      <c r="J112" s="9">
        <f>IF(OR(G112="",H112=""),"",G112&amp;"-"&amp;H112)</f>
        <v/>
      </c>
      <c r="K112" s="9">
        <f>IF(A112="","",IF(J112="","nicht belegt",IF(COUNTIF($J$2:$J$150,J112)&gt;1,"DOPPELT",IF(OR(H112&lt;1,H112&gt;IF(G112="EGT",8,34)),"Pin ungültig","ok"))))</f>
        <v/>
      </c>
      <c r="L112" s="11" t="n"/>
      <c r="M112" s="12" t="n"/>
    </row>
    <row r="113">
      <c r="A113" s="9" t="n"/>
      <c r="B113" s="9" t="n"/>
      <c r="C113" s="9" t="n"/>
      <c r="D113" s="9" t="n"/>
      <c r="E113" s="9" t="n"/>
      <c r="F113" s="9" t="n"/>
      <c r="G113" s="10" t="n"/>
      <c r="H113" s="10" t="n"/>
      <c r="I113" s="9" t="n"/>
      <c r="J113" s="9">
        <f>IF(OR(G113="",H113=""),"",G113&amp;"-"&amp;H113)</f>
        <v/>
      </c>
      <c r="K113" s="9">
        <f>IF(A113="","",IF(J113="","nicht belegt",IF(COUNTIF($J$2:$J$150,J113)&gt;1,"DOPPELT",IF(OR(H113&lt;1,H113&gt;IF(G113="EGT",8,34)),"Pin ungültig","ok"))))</f>
        <v/>
      </c>
      <c r="L113" s="11" t="n"/>
      <c r="M113" s="12" t="n"/>
    </row>
    <row r="114">
      <c r="A114" s="9" t="n"/>
      <c r="B114" s="9" t="n"/>
      <c r="C114" s="9" t="n"/>
      <c r="D114" s="9" t="n"/>
      <c r="E114" s="9" t="n"/>
      <c r="F114" s="9" t="n"/>
      <c r="G114" s="10" t="n"/>
      <c r="H114" s="10" t="n"/>
      <c r="I114" s="9" t="n"/>
      <c r="J114" s="9">
        <f>IF(OR(G114="",H114=""),"",G114&amp;"-"&amp;H114)</f>
        <v/>
      </c>
      <c r="K114" s="9">
        <f>IF(A114="","",IF(J114="","nicht belegt",IF(COUNTIF($J$2:$J$150,J114)&gt;1,"DOPPELT",IF(OR(H114&lt;1,H114&gt;IF(G114="EGT",8,34)),"Pin ungültig","ok"))))</f>
        <v/>
      </c>
      <c r="L114" s="11" t="n"/>
      <c r="M114" s="12" t="n"/>
    </row>
    <row r="115">
      <c r="A115" s="9" t="n"/>
      <c r="B115" s="9" t="n"/>
      <c r="C115" s="9" t="n"/>
      <c r="D115" s="9" t="n"/>
      <c r="E115" s="9" t="n"/>
      <c r="F115" s="9" t="n"/>
      <c r="G115" s="10" t="n"/>
      <c r="H115" s="10" t="n"/>
      <c r="I115" s="9" t="n"/>
      <c r="J115" s="9">
        <f>IF(OR(G115="",H115=""),"",G115&amp;"-"&amp;H115)</f>
        <v/>
      </c>
      <c r="K115" s="9">
        <f>IF(A115="","",IF(J115="","nicht belegt",IF(COUNTIF($J$2:$J$150,J115)&gt;1,"DOPPELT",IF(OR(H115&lt;1,H115&gt;IF(G115="EGT",8,34)),"Pin ungültig","ok"))))</f>
        <v/>
      </c>
      <c r="L115" s="11" t="n"/>
      <c r="M115" s="12" t="n"/>
    </row>
    <row r="116">
      <c r="A116" s="9" t="n"/>
      <c r="B116" s="9" t="n"/>
      <c r="C116" s="9" t="n"/>
      <c r="D116" s="9" t="n"/>
      <c r="E116" s="9" t="n"/>
      <c r="F116" s="9" t="n"/>
      <c r="G116" s="10" t="n"/>
      <c r="H116" s="10" t="n"/>
      <c r="I116" s="9" t="n"/>
      <c r="J116" s="9">
        <f>IF(OR(G116="",H116=""),"",G116&amp;"-"&amp;H116)</f>
        <v/>
      </c>
      <c r="K116" s="9">
        <f>IF(A116="","",IF(J116="","nicht belegt",IF(COUNTIF($J$2:$J$150,J116)&gt;1,"DOPPELT",IF(OR(H116&lt;1,H116&gt;IF(G116="EGT",8,34)),"Pin ungültig","ok"))))</f>
        <v/>
      </c>
      <c r="L116" s="11" t="n"/>
      <c r="M116" s="12" t="n"/>
    </row>
    <row r="117">
      <c r="A117" s="9" t="n"/>
      <c r="B117" s="9" t="n"/>
      <c r="C117" s="9" t="n"/>
      <c r="D117" s="9" t="n"/>
      <c r="E117" s="9" t="n"/>
      <c r="F117" s="9" t="n"/>
      <c r="G117" s="10" t="n"/>
      <c r="H117" s="10" t="n"/>
      <c r="I117" s="9" t="n"/>
      <c r="J117" s="9">
        <f>IF(OR(G117="",H117=""),"",G117&amp;"-"&amp;H117)</f>
        <v/>
      </c>
      <c r="K117" s="9">
        <f>IF(A117="","",IF(J117="","nicht belegt",IF(COUNTIF($J$2:$J$150,J117)&gt;1,"DOPPELT",IF(OR(H117&lt;1,H117&gt;IF(G117="EGT",8,34)),"Pin ungültig","ok"))))</f>
        <v/>
      </c>
      <c r="L117" s="11" t="n"/>
      <c r="M117" s="12" t="n"/>
    </row>
    <row r="118">
      <c r="A118" s="9" t="n"/>
      <c r="B118" s="9" t="n"/>
      <c r="C118" s="9" t="n"/>
      <c r="D118" s="9" t="n"/>
      <c r="E118" s="9" t="n"/>
      <c r="F118" s="9" t="n"/>
      <c r="G118" s="10" t="n"/>
      <c r="H118" s="10" t="n"/>
      <c r="I118" s="9" t="n"/>
      <c r="J118" s="9">
        <f>IF(OR(G118="",H118=""),"",G118&amp;"-"&amp;H118)</f>
        <v/>
      </c>
      <c r="K118" s="9">
        <f>IF(A118="","",IF(J118="","nicht belegt",IF(COUNTIF($J$2:$J$150,J118)&gt;1,"DOPPELT",IF(OR(H118&lt;1,H118&gt;IF(G118="EGT",8,34)),"Pin ungültig","ok"))))</f>
        <v/>
      </c>
      <c r="L118" s="11" t="n"/>
      <c r="M118" s="12" t="n"/>
    </row>
    <row r="119">
      <c r="A119" s="9" t="n"/>
      <c r="B119" s="9" t="n"/>
      <c r="C119" s="9" t="n"/>
      <c r="D119" s="9" t="n"/>
      <c r="E119" s="9" t="n"/>
      <c r="F119" s="9" t="n"/>
      <c r="G119" s="10" t="n"/>
      <c r="H119" s="10" t="n"/>
      <c r="I119" s="9" t="n"/>
      <c r="J119" s="9">
        <f>IF(OR(G119="",H119=""),"",G119&amp;"-"&amp;H119)</f>
        <v/>
      </c>
      <c r="K119" s="9">
        <f>IF(A119="","",IF(J119="","nicht belegt",IF(COUNTIF($J$2:$J$150,J119)&gt;1,"DOPPELT",IF(OR(H119&lt;1,H119&gt;IF(G119="EGT",8,34)),"Pin ungültig","ok"))))</f>
        <v/>
      </c>
      <c r="L119" s="11" t="n"/>
      <c r="M119" s="12" t="n"/>
    </row>
    <row r="120">
      <c r="A120" s="9" t="n"/>
      <c r="B120" s="9" t="n"/>
      <c r="C120" s="9" t="n"/>
      <c r="D120" s="9" t="n"/>
      <c r="E120" s="9" t="n"/>
      <c r="F120" s="9" t="n"/>
      <c r="G120" s="10" t="n"/>
      <c r="H120" s="10" t="n"/>
      <c r="I120" s="9" t="n"/>
      <c r="J120" s="9">
        <f>IF(OR(G120="",H120=""),"",G120&amp;"-"&amp;H120)</f>
        <v/>
      </c>
      <c r="K120" s="9">
        <f>IF(A120="","",IF(J120="","nicht belegt",IF(COUNTIF($J$2:$J$150,J120)&gt;1,"DOPPELT",IF(OR(H120&lt;1,H120&gt;IF(G120="EGT",8,34)),"Pin ungültig","ok"))))</f>
        <v/>
      </c>
      <c r="L120" s="11" t="n"/>
      <c r="M120" s="12" t="n"/>
    </row>
    <row r="121">
      <c r="A121" s="9" t="n"/>
      <c r="B121" s="9" t="n"/>
      <c r="C121" s="9" t="n"/>
      <c r="D121" s="9" t="n"/>
      <c r="E121" s="9" t="n"/>
      <c r="F121" s="9" t="n"/>
      <c r="G121" s="10" t="n"/>
      <c r="H121" s="10" t="n"/>
      <c r="I121" s="9" t="n"/>
      <c r="J121" s="9">
        <f>IF(OR(G121="",H121=""),"",G121&amp;"-"&amp;H121)</f>
        <v/>
      </c>
      <c r="K121" s="9">
        <f>IF(A121="","",IF(J121="","nicht belegt",IF(COUNTIF($J$2:$J$150,J121)&gt;1,"DOPPELT",IF(OR(H121&lt;1,H121&gt;IF(G121="EGT",8,34)),"Pin ungültig","ok"))))</f>
        <v/>
      </c>
      <c r="L121" s="11" t="n"/>
      <c r="M121" s="12" t="n"/>
    </row>
    <row r="122">
      <c r="A122" s="9" t="n"/>
      <c r="B122" s="9" t="n"/>
      <c r="C122" s="9" t="n"/>
      <c r="D122" s="9" t="n"/>
      <c r="E122" s="9" t="n"/>
      <c r="F122" s="9" t="n"/>
      <c r="G122" s="10" t="n"/>
      <c r="H122" s="10" t="n"/>
      <c r="I122" s="9" t="n"/>
      <c r="J122" s="9">
        <f>IF(OR(G122="",H122=""),"",G122&amp;"-"&amp;H122)</f>
        <v/>
      </c>
      <c r="K122" s="9">
        <f>IF(A122="","",IF(J122="","nicht belegt",IF(COUNTIF($J$2:$J$150,J122)&gt;1,"DOPPELT",IF(OR(H122&lt;1,H122&gt;IF(G122="EGT",8,34)),"Pin ungültig","ok"))))</f>
        <v/>
      </c>
      <c r="L122" s="11" t="n"/>
      <c r="M122" s="12" t="n"/>
    </row>
    <row r="123">
      <c r="A123" s="9" t="n"/>
      <c r="B123" s="9" t="n"/>
      <c r="C123" s="9" t="n"/>
      <c r="D123" s="9" t="n"/>
      <c r="E123" s="9" t="n"/>
      <c r="F123" s="9" t="n"/>
      <c r="G123" s="10" t="n"/>
      <c r="H123" s="10" t="n"/>
      <c r="I123" s="9" t="n"/>
      <c r="J123" s="9">
        <f>IF(OR(G123="",H123=""),"",G123&amp;"-"&amp;H123)</f>
        <v/>
      </c>
      <c r="K123" s="9">
        <f>IF(A123="","",IF(J123="","nicht belegt",IF(COUNTIF($J$2:$J$150,J123)&gt;1,"DOPPELT",IF(OR(H123&lt;1,H123&gt;IF(G123="EGT",8,34)),"Pin ungültig","ok"))))</f>
        <v/>
      </c>
      <c r="L123" s="11" t="n"/>
      <c r="M123" s="12" t="n"/>
    </row>
    <row r="124">
      <c r="A124" s="9" t="n"/>
      <c r="B124" s="9" t="n"/>
      <c r="C124" s="9" t="n"/>
      <c r="D124" s="9" t="n"/>
      <c r="E124" s="9" t="n"/>
      <c r="F124" s="9" t="n"/>
      <c r="G124" s="10" t="n"/>
      <c r="H124" s="10" t="n"/>
      <c r="I124" s="9" t="n"/>
      <c r="J124" s="9">
        <f>IF(OR(G124="",H124=""),"",G124&amp;"-"&amp;H124)</f>
        <v/>
      </c>
      <c r="K124" s="9">
        <f>IF(A124="","",IF(J124="","nicht belegt",IF(COUNTIF($J$2:$J$150,J124)&gt;1,"DOPPELT",IF(OR(H124&lt;1,H124&gt;IF(G124="EGT",8,34)),"Pin ungültig","ok"))))</f>
        <v/>
      </c>
      <c r="L124" s="11" t="n"/>
      <c r="M124" s="12" t="n"/>
    </row>
    <row r="125">
      <c r="A125" s="9" t="n"/>
      <c r="B125" s="9" t="n"/>
      <c r="C125" s="9" t="n"/>
      <c r="D125" s="9" t="n"/>
      <c r="E125" s="9" t="n"/>
      <c r="F125" s="9" t="n"/>
      <c r="G125" s="10" t="n"/>
      <c r="H125" s="10" t="n"/>
      <c r="I125" s="9" t="n"/>
      <c r="J125" s="9">
        <f>IF(OR(G125="",H125=""),"",G125&amp;"-"&amp;H125)</f>
        <v/>
      </c>
      <c r="K125" s="9">
        <f>IF(A125="","",IF(J125="","nicht belegt",IF(COUNTIF($J$2:$J$150,J125)&gt;1,"DOPPELT",IF(OR(H125&lt;1,H125&gt;IF(G125="EGT",8,34)),"Pin ungültig","ok"))))</f>
        <v/>
      </c>
      <c r="L125" s="11" t="n"/>
      <c r="M125" s="12" t="n"/>
    </row>
    <row r="126">
      <c r="A126" s="9" t="n"/>
      <c r="B126" s="9" t="n"/>
      <c r="C126" s="9" t="n"/>
      <c r="D126" s="9" t="n"/>
      <c r="E126" s="9" t="n"/>
      <c r="F126" s="9" t="n"/>
      <c r="G126" s="10" t="n"/>
      <c r="H126" s="10" t="n"/>
      <c r="I126" s="9" t="n"/>
      <c r="J126" s="9">
        <f>IF(OR(G126="",H126=""),"",G126&amp;"-"&amp;H126)</f>
        <v/>
      </c>
      <c r="K126" s="9">
        <f>IF(A126="","",IF(J126="","nicht belegt",IF(COUNTIF($J$2:$J$150,J126)&gt;1,"DOPPELT",IF(OR(H126&lt;1,H126&gt;IF(G126="EGT",8,34)),"Pin ungültig","ok"))))</f>
        <v/>
      </c>
      <c r="L126" s="11" t="n"/>
      <c r="M126" s="12" t="n"/>
    </row>
    <row r="127">
      <c r="A127" s="9" t="n"/>
      <c r="B127" s="9" t="n"/>
      <c r="C127" s="9" t="n"/>
      <c r="D127" s="9" t="n"/>
      <c r="E127" s="9" t="n"/>
      <c r="F127" s="9" t="n"/>
      <c r="G127" s="10" t="n"/>
      <c r="H127" s="10" t="n"/>
      <c r="I127" s="9" t="n"/>
      <c r="J127" s="9">
        <f>IF(OR(G127="",H127=""),"",G127&amp;"-"&amp;H127)</f>
        <v/>
      </c>
      <c r="K127" s="9">
        <f>IF(A127="","",IF(J127="","nicht belegt",IF(COUNTIF($J$2:$J$150,J127)&gt;1,"DOPPELT",IF(OR(H127&lt;1,H127&gt;IF(G127="EGT",8,34)),"Pin ungültig","ok"))))</f>
        <v/>
      </c>
      <c r="L127" s="11" t="n"/>
      <c r="M127" s="12" t="n"/>
    </row>
    <row r="128">
      <c r="A128" s="9" t="n"/>
      <c r="B128" s="9" t="n"/>
      <c r="C128" s="9" t="n"/>
      <c r="D128" s="9" t="n"/>
      <c r="E128" s="9" t="n"/>
      <c r="F128" s="9" t="n"/>
      <c r="G128" s="10" t="n"/>
      <c r="H128" s="10" t="n"/>
      <c r="I128" s="9" t="n"/>
      <c r="J128" s="9">
        <f>IF(OR(G128="",H128=""),"",G128&amp;"-"&amp;H128)</f>
        <v/>
      </c>
      <c r="K128" s="9">
        <f>IF(A128="","",IF(J128="","nicht belegt",IF(COUNTIF($J$2:$J$150,J128)&gt;1,"DOPPELT",IF(OR(H128&lt;1,H128&gt;IF(G128="EGT",8,34)),"Pin ungültig","ok"))))</f>
        <v/>
      </c>
      <c r="L128" s="11" t="n"/>
      <c r="M128" s="12" t="n"/>
    </row>
    <row r="129">
      <c r="A129" s="9" t="n"/>
      <c r="B129" s="9" t="n"/>
      <c r="C129" s="9" t="n"/>
      <c r="D129" s="9" t="n"/>
      <c r="E129" s="9" t="n"/>
      <c r="F129" s="9" t="n"/>
      <c r="G129" s="10" t="n"/>
      <c r="H129" s="10" t="n"/>
      <c r="I129" s="9" t="n"/>
      <c r="J129" s="9">
        <f>IF(OR(G129="",H129=""),"",G129&amp;"-"&amp;H129)</f>
        <v/>
      </c>
      <c r="K129" s="9">
        <f>IF(A129="","",IF(J129="","nicht belegt",IF(COUNTIF($J$2:$J$150,J129)&gt;1,"DOPPELT",IF(OR(H129&lt;1,H129&gt;IF(G129="EGT",8,34)),"Pin ungültig","ok"))))</f>
        <v/>
      </c>
      <c r="L129" s="11" t="n"/>
      <c r="M129" s="12" t="n"/>
    </row>
    <row r="130">
      <c r="A130" s="9" t="n"/>
      <c r="B130" s="9" t="n"/>
      <c r="C130" s="9" t="n"/>
      <c r="D130" s="9" t="n"/>
      <c r="E130" s="9" t="n"/>
      <c r="F130" s="9" t="n"/>
      <c r="G130" s="10" t="n"/>
      <c r="H130" s="10" t="n"/>
      <c r="I130" s="9" t="n"/>
      <c r="J130" s="9">
        <f>IF(OR(G130="",H130=""),"",G130&amp;"-"&amp;H130)</f>
        <v/>
      </c>
      <c r="K130" s="9">
        <f>IF(A130="","",IF(J130="","nicht belegt",IF(COUNTIF($J$2:$J$150,J130)&gt;1,"DOPPELT",IF(OR(H130&lt;1,H130&gt;IF(G130="EGT",8,34)),"Pin ungültig","ok"))))</f>
        <v/>
      </c>
      <c r="L130" s="11" t="n"/>
      <c r="M130" s="12" t="n"/>
    </row>
    <row r="131">
      <c r="A131" s="9" t="n"/>
      <c r="B131" s="9" t="n"/>
      <c r="C131" s="9" t="n"/>
      <c r="D131" s="9" t="n"/>
      <c r="E131" s="9" t="n"/>
      <c r="F131" s="9" t="n"/>
      <c r="G131" s="10" t="n"/>
      <c r="H131" s="10" t="n"/>
      <c r="I131" s="9" t="n"/>
      <c r="J131" s="9">
        <f>IF(OR(G131="",H131=""),"",G131&amp;"-"&amp;H131)</f>
        <v/>
      </c>
      <c r="K131" s="9">
        <f>IF(A131="","",IF(J131="","nicht belegt",IF(COUNTIF($J$2:$J$150,J131)&gt;1,"DOPPELT",IF(OR(H131&lt;1,H131&gt;IF(G131="EGT",8,34)),"Pin ungültig","ok"))))</f>
        <v/>
      </c>
      <c r="L131" s="11" t="n"/>
      <c r="M131" s="12" t="n"/>
    </row>
    <row r="132">
      <c r="A132" s="9" t="n"/>
      <c r="B132" s="9" t="n"/>
      <c r="C132" s="9" t="n"/>
      <c r="D132" s="9" t="n"/>
      <c r="E132" s="9" t="n"/>
      <c r="F132" s="9" t="n"/>
      <c r="G132" s="10" t="n"/>
      <c r="H132" s="10" t="n"/>
      <c r="I132" s="9" t="n"/>
      <c r="J132" s="9">
        <f>IF(OR(G132="",H132=""),"",G132&amp;"-"&amp;H132)</f>
        <v/>
      </c>
      <c r="K132" s="9">
        <f>IF(A132="","",IF(J132="","nicht belegt",IF(COUNTIF($J$2:$J$150,J132)&gt;1,"DOPPELT",IF(OR(H132&lt;1,H132&gt;IF(G132="EGT",8,34)),"Pin ungültig","ok"))))</f>
        <v/>
      </c>
      <c r="L132" s="11" t="n"/>
      <c r="M132" s="12" t="n"/>
    </row>
    <row r="133">
      <c r="A133" s="9" t="n"/>
      <c r="B133" s="9" t="n"/>
      <c r="C133" s="9" t="n"/>
      <c r="D133" s="9" t="n"/>
      <c r="E133" s="9" t="n"/>
      <c r="F133" s="9" t="n"/>
      <c r="G133" s="10" t="n"/>
      <c r="H133" s="10" t="n"/>
      <c r="I133" s="9" t="n"/>
      <c r="J133" s="9">
        <f>IF(OR(G133="",H133=""),"",G133&amp;"-"&amp;H133)</f>
        <v/>
      </c>
      <c r="K133" s="9">
        <f>IF(A133="","",IF(J133="","nicht belegt",IF(COUNTIF($J$2:$J$150,J133)&gt;1,"DOPPELT",IF(OR(H133&lt;1,H133&gt;IF(G133="EGT",8,34)),"Pin ungültig","ok"))))</f>
        <v/>
      </c>
      <c r="L133" s="11" t="n"/>
      <c r="M133" s="12" t="n"/>
    </row>
    <row r="134">
      <c r="A134" s="9" t="n"/>
      <c r="B134" s="9" t="n"/>
      <c r="C134" s="9" t="n"/>
      <c r="D134" s="9" t="n"/>
      <c r="E134" s="9" t="n"/>
      <c r="F134" s="9" t="n"/>
      <c r="G134" s="10" t="n"/>
      <c r="H134" s="10" t="n"/>
      <c r="I134" s="9" t="n"/>
      <c r="J134" s="9">
        <f>IF(OR(G134="",H134=""),"",G134&amp;"-"&amp;H134)</f>
        <v/>
      </c>
      <c r="K134" s="9">
        <f>IF(A134="","",IF(J134="","nicht belegt",IF(COUNTIF($J$2:$J$150,J134)&gt;1,"DOPPELT",IF(OR(H134&lt;1,H134&gt;IF(G134="EGT",8,34)),"Pin ungültig","ok"))))</f>
        <v/>
      </c>
      <c r="L134" s="11" t="n"/>
      <c r="M134" s="12" t="n"/>
    </row>
    <row r="135">
      <c r="A135" s="9" t="n"/>
      <c r="B135" s="9" t="n"/>
      <c r="C135" s="9" t="n"/>
      <c r="D135" s="9" t="n"/>
      <c r="E135" s="9" t="n"/>
      <c r="F135" s="9" t="n"/>
      <c r="G135" s="10" t="n"/>
      <c r="H135" s="10" t="n"/>
      <c r="I135" s="9" t="n"/>
      <c r="J135" s="9">
        <f>IF(OR(G135="",H135=""),"",G135&amp;"-"&amp;H135)</f>
        <v/>
      </c>
      <c r="K135" s="9">
        <f>IF(A135="","",IF(J135="","nicht belegt",IF(COUNTIF($J$2:$J$150,J135)&gt;1,"DOPPELT",IF(OR(H135&lt;1,H135&gt;IF(G135="EGT",8,34)),"Pin ungültig","ok"))))</f>
        <v/>
      </c>
      <c r="L135" s="11" t="n"/>
      <c r="M135" s="12" t="n"/>
    </row>
    <row r="136">
      <c r="A136" s="9" t="n"/>
      <c r="B136" s="9" t="n"/>
      <c r="C136" s="9" t="n"/>
      <c r="D136" s="9" t="n"/>
      <c r="E136" s="9" t="n"/>
      <c r="F136" s="9" t="n"/>
      <c r="G136" s="10" t="n"/>
      <c r="H136" s="10" t="n"/>
      <c r="I136" s="9" t="n"/>
      <c r="J136" s="9">
        <f>IF(OR(G136="",H136=""),"",G136&amp;"-"&amp;H136)</f>
        <v/>
      </c>
      <c r="K136" s="9">
        <f>IF(A136="","",IF(J136="","nicht belegt",IF(COUNTIF($J$2:$J$150,J136)&gt;1,"DOPPELT",IF(OR(H136&lt;1,H136&gt;IF(G136="EGT",8,34)),"Pin ungültig","ok"))))</f>
        <v/>
      </c>
      <c r="L136" s="11" t="n"/>
      <c r="M136" s="12" t="n"/>
    </row>
    <row r="137">
      <c r="A137" s="9" t="n"/>
      <c r="B137" s="9" t="n"/>
      <c r="C137" s="9" t="n"/>
      <c r="D137" s="9" t="n"/>
      <c r="E137" s="9" t="n"/>
      <c r="F137" s="9" t="n"/>
      <c r="G137" s="10" t="n"/>
      <c r="H137" s="10" t="n"/>
      <c r="I137" s="9" t="n"/>
      <c r="J137" s="9">
        <f>IF(OR(G137="",H137=""),"",G137&amp;"-"&amp;H137)</f>
        <v/>
      </c>
      <c r="K137" s="9">
        <f>IF(A137="","",IF(J137="","nicht belegt",IF(COUNTIF($J$2:$J$150,J137)&gt;1,"DOPPELT",IF(OR(H137&lt;1,H137&gt;IF(G137="EGT",8,34)),"Pin ungültig","ok"))))</f>
        <v/>
      </c>
      <c r="L137" s="11" t="n"/>
      <c r="M137" s="12" t="n"/>
    </row>
    <row r="138">
      <c r="A138" s="9" t="n"/>
      <c r="B138" s="9" t="n"/>
      <c r="C138" s="9" t="n"/>
      <c r="D138" s="9" t="n"/>
      <c r="E138" s="9" t="n"/>
      <c r="F138" s="9" t="n"/>
      <c r="G138" s="10" t="n"/>
      <c r="H138" s="10" t="n"/>
      <c r="I138" s="9" t="n"/>
      <c r="J138" s="9">
        <f>IF(OR(G138="",H138=""),"",G138&amp;"-"&amp;H138)</f>
        <v/>
      </c>
      <c r="K138" s="9">
        <f>IF(A138="","",IF(J138="","nicht belegt",IF(COUNTIF($J$2:$J$150,J138)&gt;1,"DOPPELT",IF(OR(H138&lt;1,H138&gt;IF(G138="EGT",8,34)),"Pin ungültig","ok"))))</f>
        <v/>
      </c>
      <c r="L138" s="11" t="n"/>
      <c r="M138" s="12" t="n"/>
    </row>
    <row r="139">
      <c r="A139" s="9" t="n"/>
      <c r="B139" s="9" t="n"/>
      <c r="C139" s="9" t="n"/>
      <c r="D139" s="9" t="n"/>
      <c r="E139" s="9" t="n"/>
      <c r="F139" s="9" t="n"/>
      <c r="G139" s="10" t="n"/>
      <c r="H139" s="10" t="n"/>
      <c r="I139" s="9" t="n"/>
      <c r="J139" s="9">
        <f>IF(OR(G139="",H139=""),"",G139&amp;"-"&amp;H139)</f>
        <v/>
      </c>
      <c r="K139" s="9">
        <f>IF(A139="","",IF(J139="","nicht belegt",IF(COUNTIF($J$2:$J$150,J139)&gt;1,"DOPPELT",IF(OR(H139&lt;1,H139&gt;IF(G139="EGT",8,34)),"Pin ungültig","ok"))))</f>
        <v/>
      </c>
      <c r="L139" s="11" t="n"/>
      <c r="M139" s="12" t="n"/>
    </row>
    <row r="140">
      <c r="A140" s="9" t="n"/>
      <c r="B140" s="9" t="n"/>
      <c r="C140" s="9" t="n"/>
      <c r="D140" s="9" t="n"/>
      <c r="E140" s="9" t="n"/>
      <c r="F140" s="9" t="n"/>
      <c r="G140" s="10" t="n"/>
      <c r="H140" s="10" t="n"/>
      <c r="I140" s="9" t="n"/>
      <c r="J140" s="9">
        <f>IF(OR(G140="",H140=""),"",G140&amp;"-"&amp;H140)</f>
        <v/>
      </c>
      <c r="K140" s="9">
        <f>IF(A140="","",IF(J140="","nicht belegt",IF(COUNTIF($J$2:$J$150,J140)&gt;1,"DOPPELT",IF(OR(H140&lt;1,H140&gt;IF(G140="EGT",8,34)),"Pin ungültig","ok"))))</f>
        <v/>
      </c>
      <c r="L140" s="11" t="n"/>
      <c r="M140" s="12" t="n"/>
    </row>
    <row r="141">
      <c r="A141" s="9" t="n"/>
      <c r="B141" s="9" t="n"/>
      <c r="C141" s="9" t="n"/>
      <c r="D141" s="9" t="n"/>
      <c r="E141" s="9" t="n"/>
      <c r="F141" s="9" t="n"/>
      <c r="G141" s="10" t="n"/>
      <c r="H141" s="10" t="n"/>
      <c r="I141" s="9" t="n"/>
      <c r="J141" s="9">
        <f>IF(OR(G141="",H141=""),"",G141&amp;"-"&amp;H141)</f>
        <v/>
      </c>
      <c r="K141" s="9">
        <f>IF(A141="","",IF(J141="","nicht belegt",IF(COUNTIF($J$2:$J$150,J141)&gt;1,"DOPPELT",IF(OR(H141&lt;1,H141&gt;IF(G141="EGT",8,34)),"Pin ungültig","ok"))))</f>
        <v/>
      </c>
      <c r="L141" s="11" t="n"/>
      <c r="M141" s="12" t="n"/>
    </row>
    <row r="142">
      <c r="A142" s="9" t="n"/>
      <c r="B142" s="9" t="n"/>
      <c r="C142" s="9" t="n"/>
      <c r="D142" s="9" t="n"/>
      <c r="E142" s="9" t="n"/>
      <c r="F142" s="9" t="n"/>
      <c r="G142" s="10" t="n"/>
      <c r="H142" s="10" t="n"/>
      <c r="I142" s="9" t="n"/>
      <c r="J142" s="9">
        <f>IF(OR(G142="",H142=""),"",G142&amp;"-"&amp;H142)</f>
        <v/>
      </c>
      <c r="K142" s="9">
        <f>IF(A142="","",IF(J142="","nicht belegt",IF(COUNTIF($J$2:$J$150,J142)&gt;1,"DOPPELT",IF(OR(H142&lt;1,H142&gt;IF(G142="EGT",8,34)),"Pin ungültig","ok"))))</f>
        <v/>
      </c>
      <c r="L142" s="11" t="n"/>
      <c r="M142" s="12" t="n"/>
    </row>
    <row r="143">
      <c r="A143" s="9" t="n"/>
      <c r="B143" s="9" t="n"/>
      <c r="C143" s="9" t="n"/>
      <c r="D143" s="9" t="n"/>
      <c r="E143" s="9" t="n"/>
      <c r="F143" s="9" t="n"/>
      <c r="G143" s="10" t="n"/>
      <c r="H143" s="10" t="n"/>
      <c r="I143" s="9" t="n"/>
      <c r="J143" s="9">
        <f>IF(OR(G143="",H143=""),"",G143&amp;"-"&amp;H143)</f>
        <v/>
      </c>
      <c r="K143" s="9">
        <f>IF(A143="","",IF(J143="","nicht belegt",IF(COUNTIF($J$2:$J$150,J143)&gt;1,"DOPPELT",IF(OR(H143&lt;1,H143&gt;IF(G143="EGT",8,34)),"Pin ungültig","ok"))))</f>
        <v/>
      </c>
      <c r="L143" s="11" t="n"/>
      <c r="M143" s="12" t="n"/>
    </row>
    <row r="144">
      <c r="A144" s="9" t="n"/>
      <c r="B144" s="9" t="n"/>
      <c r="C144" s="9" t="n"/>
      <c r="D144" s="9" t="n"/>
      <c r="E144" s="9" t="n"/>
      <c r="F144" s="9" t="n"/>
      <c r="G144" s="10" t="n"/>
      <c r="H144" s="10" t="n"/>
      <c r="I144" s="9" t="n"/>
      <c r="J144" s="9">
        <f>IF(OR(G144="",H144=""),"",G144&amp;"-"&amp;H144)</f>
        <v/>
      </c>
      <c r="K144" s="9">
        <f>IF(A144="","",IF(J144="","nicht belegt",IF(COUNTIF($J$2:$J$150,J144)&gt;1,"DOPPELT",IF(OR(H144&lt;1,H144&gt;IF(G144="EGT",8,34)),"Pin ungültig","ok"))))</f>
        <v/>
      </c>
      <c r="L144" s="11" t="n"/>
      <c r="M144" s="12" t="n"/>
    </row>
    <row r="145">
      <c r="A145" s="9" t="n"/>
      <c r="B145" s="9" t="n"/>
      <c r="C145" s="9" t="n"/>
      <c r="D145" s="9" t="n"/>
      <c r="E145" s="9" t="n"/>
      <c r="F145" s="9" t="n"/>
      <c r="G145" s="10" t="n"/>
      <c r="H145" s="10" t="n"/>
      <c r="I145" s="9" t="n"/>
      <c r="J145" s="9">
        <f>IF(OR(G145="",H145=""),"",G145&amp;"-"&amp;H145)</f>
        <v/>
      </c>
      <c r="K145" s="9">
        <f>IF(A145="","",IF(J145="","nicht belegt",IF(COUNTIF($J$2:$J$150,J145)&gt;1,"DOPPELT",IF(OR(H145&lt;1,H145&gt;IF(G145="EGT",8,34)),"Pin ungültig","ok"))))</f>
        <v/>
      </c>
      <c r="L145" s="11" t="n"/>
      <c r="M145" s="12" t="n"/>
    </row>
    <row r="146">
      <c r="A146" s="9" t="n"/>
      <c r="B146" s="9" t="n"/>
      <c r="C146" s="9" t="n"/>
      <c r="D146" s="9" t="n"/>
      <c r="E146" s="9" t="n"/>
      <c r="F146" s="9" t="n"/>
      <c r="G146" s="10" t="n"/>
      <c r="H146" s="10" t="n"/>
      <c r="I146" s="9" t="n"/>
      <c r="J146" s="9">
        <f>IF(OR(G146="",H146=""),"",G146&amp;"-"&amp;H146)</f>
        <v/>
      </c>
      <c r="K146" s="9">
        <f>IF(A146="","",IF(J146="","nicht belegt",IF(COUNTIF($J$2:$J$150,J146)&gt;1,"DOPPELT",IF(OR(H146&lt;1,H146&gt;IF(G146="EGT",8,34)),"Pin ungültig","ok"))))</f>
        <v/>
      </c>
      <c r="L146" s="11" t="n"/>
      <c r="M146" s="12" t="n"/>
    </row>
    <row r="147">
      <c r="A147" s="9" t="n"/>
      <c r="B147" s="9" t="n"/>
      <c r="C147" s="9" t="n"/>
      <c r="D147" s="9" t="n"/>
      <c r="E147" s="9" t="n"/>
      <c r="F147" s="9" t="n"/>
      <c r="G147" s="10" t="n"/>
      <c r="H147" s="10" t="n"/>
      <c r="I147" s="9" t="n"/>
      <c r="J147" s="9">
        <f>IF(OR(G147="",H147=""),"",G147&amp;"-"&amp;H147)</f>
        <v/>
      </c>
      <c r="K147" s="9">
        <f>IF(A147="","",IF(J147="","nicht belegt",IF(COUNTIF($J$2:$J$150,J147)&gt;1,"DOPPELT",IF(OR(H147&lt;1,H147&gt;IF(G147="EGT",8,34)),"Pin ungültig","ok"))))</f>
        <v/>
      </c>
      <c r="L147" s="11" t="n"/>
      <c r="M147" s="12" t="n"/>
    </row>
    <row r="148">
      <c r="A148" s="9" t="n"/>
      <c r="B148" s="9" t="n"/>
      <c r="C148" s="9" t="n"/>
      <c r="D148" s="9" t="n"/>
      <c r="E148" s="9" t="n"/>
      <c r="F148" s="9" t="n"/>
      <c r="G148" s="10" t="n"/>
      <c r="H148" s="10" t="n"/>
      <c r="I148" s="9" t="n"/>
      <c r="J148" s="9">
        <f>IF(OR(G148="",H148=""),"",G148&amp;"-"&amp;H148)</f>
        <v/>
      </c>
      <c r="K148" s="9">
        <f>IF(A148="","",IF(J148="","nicht belegt",IF(COUNTIF($J$2:$J$150,J148)&gt;1,"DOPPELT",IF(OR(H148&lt;1,H148&gt;IF(G148="EGT",8,34)),"Pin ungültig","ok"))))</f>
        <v/>
      </c>
      <c r="L148" s="11" t="n"/>
      <c r="M148" s="12" t="n"/>
    </row>
    <row r="149">
      <c r="A149" s="9" t="n"/>
      <c r="B149" s="9" t="n"/>
      <c r="C149" s="9" t="n"/>
      <c r="D149" s="9" t="n"/>
      <c r="E149" s="9" t="n"/>
      <c r="F149" s="9" t="n"/>
      <c r="G149" s="10" t="n"/>
      <c r="H149" s="10" t="n"/>
      <c r="I149" s="9" t="n"/>
      <c r="J149" s="9">
        <f>IF(OR(G149="",H149=""),"",G149&amp;"-"&amp;H149)</f>
        <v/>
      </c>
      <c r="K149" s="9">
        <f>IF(A149="","",IF(J149="","nicht belegt",IF(COUNTIF($J$2:$J$150,J149)&gt;1,"DOPPELT",IF(OR(H149&lt;1,H149&gt;IF(G149="EGT",8,34)),"Pin ungültig","ok"))))</f>
        <v/>
      </c>
      <c r="L149" s="11" t="n"/>
      <c r="M149" s="12" t="n"/>
    </row>
    <row r="150">
      <c r="A150" s="9" t="n"/>
      <c r="B150" s="9" t="n"/>
      <c r="C150" s="9" t="n"/>
      <c r="D150" s="9" t="n"/>
      <c r="E150" s="9" t="n"/>
      <c r="F150" s="9" t="n"/>
      <c r="G150" s="10" t="n"/>
      <c r="H150" s="10" t="n"/>
      <c r="I150" s="9" t="n"/>
      <c r="J150" s="9">
        <f>IF(OR(G150="",H150=""),"",G150&amp;"-"&amp;H150)</f>
        <v/>
      </c>
      <c r="K150" s="9">
        <f>IF(A150="","",IF(J150="","nicht belegt",IF(COUNTIF($J$2:$J$150,J150)&gt;1,"DOPPELT",IF(OR(H150&lt;1,H150&gt;IF(G150="EGT",8,34)),"Pin ungültig","ok"))))</f>
        <v/>
      </c>
      <c r="L150" s="11" t="n"/>
      <c r="M150" s="12" t="n"/>
    </row>
  </sheetData>
  <autoFilter ref="A1:M85"/>
  <conditionalFormatting sqref="K2:K150">
    <cfRule type="cellIs" priority="1" operator="equal" dxfId="0">
      <formula>"DOPPELT"</formula>
    </cfRule>
    <cfRule type="cellIs" priority="2" operator="equal" dxfId="0">
      <formula>"Pin ungültig"</formula>
    </cfRule>
    <cfRule type="cellIs" priority="3" operator="equal" dxfId="1">
      <formula>"ok"</formula>
    </cfRule>
    <cfRule type="cellIs" priority="4" operator="equal" dxfId="2">
      <formula>"nicht belegt"</formula>
    </cfRule>
  </conditionalFormatting>
  <dataValidations count="2">
    <dataValidation sqref="G2:G150" showDropDown="0" showInputMessage="0" showErrorMessage="0" allowBlank="1" type="list">
      <formula1>"A,B,EGT"</formula1>
    </dataValidation>
    <dataValidation sqref="H2:H150" showDropDown="0" showInputMessage="0" showErrorMessage="0" allowBlank="1" type="whole" operator="between">
      <formula1>1</formula1>
      <formula2>34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8" customWidth="1" min="4" max="4"/>
    <col width="8" customWidth="1" min="5" max="5"/>
    <col width="9" customWidth="1" min="6" max="6"/>
    <col width="13" customWidth="1" min="7" max="7"/>
    <col width="20" customWidth="1" min="8" max="8"/>
  </cols>
  <sheetData>
    <row r="1">
      <c r="A1" s="13" t="inlineStr">
        <is>
          <t>Gruppe</t>
        </is>
      </c>
      <c r="B1" s="13" t="inlineStr">
        <is>
          <t>Regel</t>
        </is>
      </c>
      <c r="C1" s="13" t="inlineStr">
        <is>
          <t>Signale</t>
        </is>
      </c>
      <c r="D1" s="13" t="inlineStr">
        <is>
          <t>auf A</t>
        </is>
      </c>
      <c r="E1" s="13" t="inlineStr">
        <is>
          <t>auf B</t>
        </is>
      </c>
      <c r="F1" s="13" t="inlineStr">
        <is>
          <t>auf EGT</t>
        </is>
      </c>
      <c r="G1" s="13" t="inlineStr">
        <is>
          <t>nicht belegt</t>
        </is>
      </c>
      <c r="H1" s="13" t="inlineStr">
        <is>
          <t>Ergebnis</t>
        </is>
      </c>
    </row>
    <row r="2">
      <c r="A2" s="9" t="inlineStr">
        <is>
          <t>Versorgung 12V</t>
        </is>
      </c>
      <c r="B2" s="9" t="inlineStr">
        <is>
          <t>auf A und B</t>
        </is>
      </c>
      <c r="C2" s="9">
        <f>COUNTIF(Signale!$A$2:$A$150,A2)</f>
        <v/>
      </c>
      <c r="D2" s="9">
        <f>COUNTIFS(Signale!$A$2:$A$150,A2,Signale!$G$2:$G$150,"A")</f>
        <v/>
      </c>
      <c r="E2" s="9">
        <f>COUNTIFS(Signale!$A$2:$A$150,A2,Signale!$G$2:$G$150,"B")</f>
        <v/>
      </c>
      <c r="F2" s="9">
        <f>COUNTIFS(Signale!$A$2:$A$150,A2,Signale!$G$2:$G$150,"EGT")</f>
        <v/>
      </c>
      <c r="G2" s="9">
        <f>C2-D2-E2-F2</f>
        <v/>
      </c>
      <c r="H2" s="9">
        <f>IF(B2="auf A und B",IF(AND(D2&gt;0,E2&gt;0),"ok","FEHLT auf "&amp;IF(D2=0,"A","B")),IF(B2="ein Stecker",IF((D2&gt;0)+(E2&gt;0)+(F2&gt;0)&gt;1,"GETEILT",IF(G2&gt;0,"teilweise unbelegt","ok")),"ok"))</f>
        <v/>
      </c>
    </row>
    <row r="3">
      <c r="A3" s="9" t="inlineStr">
        <is>
          <t>5V Sensorversorgung</t>
        </is>
      </c>
      <c r="B3" s="9" t="inlineStr">
        <is>
          <t>auf A und B</t>
        </is>
      </c>
      <c r="C3" s="9">
        <f>COUNTIF(Signale!$A$2:$A$150,A3)</f>
        <v/>
      </c>
      <c r="D3" s="9">
        <f>COUNTIFS(Signale!$A$2:$A$150,A3,Signale!$G$2:$G$150,"A")</f>
        <v/>
      </c>
      <c r="E3" s="9">
        <f>COUNTIFS(Signale!$A$2:$A$150,A3,Signale!$G$2:$G$150,"B")</f>
        <v/>
      </c>
      <c r="F3" s="9">
        <f>COUNTIFS(Signale!$A$2:$A$150,A3,Signale!$G$2:$G$150,"EGT")</f>
        <v/>
      </c>
      <c r="G3" s="9">
        <f>C3-D3-E3-F3</f>
        <v/>
      </c>
      <c r="H3" s="9">
        <f>IF(B3="auf A und B",IF(AND(D3&gt;0,E3&gt;0),"ok","FEHLT auf "&amp;IF(D3=0,"A","B")),IF(B3="ein Stecker",IF((D3&gt;0)+(E3&gt;0)+(F3&gt;0)&gt;1,"GETEILT",IF(G3&gt;0,"teilweise unbelegt","ok")),"ok"))</f>
        <v/>
      </c>
    </row>
    <row r="4">
      <c r="A4" s="9" t="inlineStr">
        <is>
          <t>Sensormasse</t>
        </is>
      </c>
      <c r="B4" s="9" t="inlineStr">
        <is>
          <t>auf A und B</t>
        </is>
      </c>
      <c r="C4" s="9">
        <f>COUNTIF(Signale!$A$2:$A$150,A4)</f>
        <v/>
      </c>
      <c r="D4" s="9">
        <f>COUNTIFS(Signale!$A$2:$A$150,A4,Signale!$G$2:$G$150,"A")</f>
        <v/>
      </c>
      <c r="E4" s="9">
        <f>COUNTIFS(Signale!$A$2:$A$150,A4,Signale!$G$2:$G$150,"B")</f>
        <v/>
      </c>
      <c r="F4" s="9">
        <f>COUNTIFS(Signale!$A$2:$A$150,A4,Signale!$G$2:$G$150,"EGT")</f>
        <v/>
      </c>
      <c r="G4" s="9">
        <f>C4-D4-E4-F4</f>
        <v/>
      </c>
      <c r="H4" s="9">
        <f>IF(B4="auf A und B",IF(AND(D4&gt;0,E4&gt;0),"ok","FEHLT auf "&amp;IF(D4=0,"A","B")),IF(B4="ein Stecker",IF((D4&gt;0)+(E4&gt;0)+(F4&gt;0)&gt;1,"GETEILT",IF(G4&gt;0,"teilweise unbelegt","ok")),"ok"))</f>
        <v/>
      </c>
    </row>
    <row r="5">
      <c r="A5" s="9" t="inlineStr">
        <is>
          <t>Masse</t>
        </is>
      </c>
      <c r="B5" s="9" t="inlineStr">
        <is>
          <t>beliebig</t>
        </is>
      </c>
      <c r="C5" s="9">
        <f>COUNTIF(Signale!$A$2:$A$150,A5)</f>
        <v/>
      </c>
      <c r="D5" s="9">
        <f>COUNTIFS(Signale!$A$2:$A$150,A5,Signale!$G$2:$G$150,"A")</f>
        <v/>
      </c>
      <c r="E5" s="9">
        <f>COUNTIFS(Signale!$A$2:$A$150,A5,Signale!$G$2:$G$150,"B")</f>
        <v/>
      </c>
      <c r="F5" s="9">
        <f>COUNTIFS(Signale!$A$2:$A$150,A5,Signale!$G$2:$G$150,"EGT")</f>
        <v/>
      </c>
      <c r="G5" s="9">
        <f>C5-D5-E5-F5</f>
        <v/>
      </c>
      <c r="H5" s="9">
        <f>IF(B5="auf A und B",IF(AND(D5&gt;0,E5&gt;0),"ok","FEHLT auf "&amp;IF(D5=0,"A","B")),IF(B5="ein Stecker",IF((D5&gt;0)+(E5&gt;0)+(F5&gt;0)&gt;1,"GETEILT",IF(G5&gt;0,"teilweise unbelegt","ok")),"ok"))</f>
        <v/>
      </c>
    </row>
    <row r="6">
      <c r="A6" s="9" t="inlineStr">
        <is>
          <t>Einspritzung 1-2</t>
        </is>
      </c>
      <c r="B6" s="9" t="inlineStr">
        <is>
          <t>ein Stecker</t>
        </is>
      </c>
      <c r="C6" s="9">
        <f>COUNTIF(Signale!$A$2:$A$150,A6)</f>
        <v/>
      </c>
      <c r="D6" s="9">
        <f>COUNTIFS(Signale!$A$2:$A$150,A6,Signale!$G$2:$G$150,"A")</f>
        <v/>
      </c>
      <c r="E6" s="9">
        <f>COUNTIFS(Signale!$A$2:$A$150,A6,Signale!$G$2:$G$150,"B")</f>
        <v/>
      </c>
      <c r="F6" s="9">
        <f>COUNTIFS(Signale!$A$2:$A$150,A6,Signale!$G$2:$G$150,"EGT")</f>
        <v/>
      </c>
      <c r="G6" s="9">
        <f>C6-D6-E6-F6</f>
        <v/>
      </c>
      <c r="H6" s="9">
        <f>IF(B6="auf A und B",IF(AND(D6&gt;0,E6&gt;0),"ok","FEHLT auf "&amp;IF(D6=0,"A","B")),IF(B6="ein Stecker",IF((D6&gt;0)+(E6&gt;0)+(F6&gt;0)&gt;1,"GETEILT",IF(G6&gt;0,"teilweise unbelegt","ok")),"ok"))</f>
        <v/>
      </c>
    </row>
    <row r="7">
      <c r="A7" s="9" t="inlineStr">
        <is>
          <t>Einspritzung 3-4</t>
        </is>
      </c>
      <c r="B7" s="9" t="inlineStr">
        <is>
          <t>ein Stecker</t>
        </is>
      </c>
      <c r="C7" s="9">
        <f>COUNTIF(Signale!$A$2:$A$150,A7)</f>
        <v/>
      </c>
      <c r="D7" s="9">
        <f>COUNTIFS(Signale!$A$2:$A$150,A7,Signale!$G$2:$G$150,"A")</f>
        <v/>
      </c>
      <c r="E7" s="9">
        <f>COUNTIFS(Signale!$A$2:$A$150,A7,Signale!$G$2:$G$150,"B")</f>
        <v/>
      </c>
      <c r="F7" s="9">
        <f>COUNTIFS(Signale!$A$2:$A$150,A7,Signale!$G$2:$G$150,"EGT")</f>
        <v/>
      </c>
      <c r="G7" s="9">
        <f>C7-D7-E7-F7</f>
        <v/>
      </c>
      <c r="H7" s="9">
        <f>IF(B7="auf A und B",IF(AND(D7&gt;0,E7&gt;0),"ok","FEHLT auf "&amp;IF(D7=0,"A","B")),IF(B7="ein Stecker",IF((D7&gt;0)+(E7&gt;0)+(F7&gt;0)&gt;1,"GETEILT",IF(G7&gt;0,"teilweise unbelegt","ok")),"ok"))</f>
        <v/>
      </c>
    </row>
    <row r="8">
      <c r="A8" s="9" t="inlineStr">
        <is>
          <t>Einspritzung 5-6 (unbenutzt)</t>
        </is>
      </c>
      <c r="B8" s="9" t="inlineStr">
        <is>
          <t>beliebig</t>
        </is>
      </c>
      <c r="C8" s="9">
        <f>COUNTIF(Signale!$A$2:$A$150,A8)</f>
        <v/>
      </c>
      <c r="D8" s="9">
        <f>COUNTIFS(Signale!$A$2:$A$150,A8,Signale!$G$2:$G$150,"A")</f>
        <v/>
      </c>
      <c r="E8" s="9">
        <f>COUNTIFS(Signale!$A$2:$A$150,A8,Signale!$G$2:$G$150,"B")</f>
        <v/>
      </c>
      <c r="F8" s="9">
        <f>COUNTIFS(Signale!$A$2:$A$150,A8,Signale!$G$2:$G$150,"EGT")</f>
        <v/>
      </c>
      <c r="G8" s="9">
        <f>C8-D8-E8-F8</f>
        <v/>
      </c>
      <c r="H8" s="9">
        <f>IF(B8="auf A und B",IF(AND(D8&gt;0,E8&gt;0),"ok","FEHLT auf "&amp;IF(D8=0,"A","B")),IF(B8="ein Stecker",IF((D8&gt;0)+(E8&gt;0)+(F8&gt;0)&gt;1,"GETEILT",IF(G8&gt;0,"teilweise unbelegt","ok")),"ok"))</f>
        <v/>
      </c>
    </row>
    <row r="9">
      <c r="A9" s="9" t="inlineStr">
        <is>
          <t>Zündung 1-2</t>
        </is>
      </c>
      <c r="B9" s="9" t="inlineStr">
        <is>
          <t>ein Stecker</t>
        </is>
      </c>
      <c r="C9" s="9">
        <f>COUNTIF(Signale!$A$2:$A$150,A9)</f>
        <v/>
      </c>
      <c r="D9" s="9">
        <f>COUNTIFS(Signale!$A$2:$A$150,A9,Signale!$G$2:$G$150,"A")</f>
        <v/>
      </c>
      <c r="E9" s="9">
        <f>COUNTIFS(Signale!$A$2:$A$150,A9,Signale!$G$2:$G$150,"B")</f>
        <v/>
      </c>
      <c r="F9" s="9">
        <f>COUNTIFS(Signale!$A$2:$A$150,A9,Signale!$G$2:$G$150,"EGT")</f>
        <v/>
      </c>
      <c r="G9" s="9">
        <f>C9-D9-E9-F9</f>
        <v/>
      </c>
      <c r="H9" s="9">
        <f>IF(B9="auf A und B",IF(AND(D9&gt;0,E9&gt;0),"ok","FEHLT auf "&amp;IF(D9=0,"A","B")),IF(B9="ein Stecker",IF((D9&gt;0)+(E9&gt;0)+(F9&gt;0)&gt;1,"GETEILT",IF(G9&gt;0,"teilweise unbelegt","ok")),"ok"))</f>
        <v/>
      </c>
    </row>
    <row r="10">
      <c r="A10" s="9" t="inlineStr">
        <is>
          <t>Zündung 3-4</t>
        </is>
      </c>
      <c r="B10" s="9" t="inlineStr">
        <is>
          <t>ein Stecker</t>
        </is>
      </c>
      <c r="C10" s="9">
        <f>COUNTIF(Signale!$A$2:$A$150,A10)</f>
        <v/>
      </c>
      <c r="D10" s="9">
        <f>COUNTIFS(Signale!$A$2:$A$150,A10,Signale!$G$2:$G$150,"A")</f>
        <v/>
      </c>
      <c r="E10" s="9">
        <f>COUNTIFS(Signale!$A$2:$A$150,A10,Signale!$G$2:$G$150,"B")</f>
        <v/>
      </c>
      <c r="F10" s="9">
        <f>COUNTIFS(Signale!$A$2:$A$150,A10,Signale!$G$2:$G$150,"EGT")</f>
        <v/>
      </c>
      <c r="G10" s="9">
        <f>C10-D10-E10-F10</f>
        <v/>
      </c>
      <c r="H10" s="9">
        <f>IF(B10="auf A und B",IF(AND(D10&gt;0,E10&gt;0),"ok","FEHLT auf "&amp;IF(D10=0,"A","B")),IF(B10="ein Stecker",IF((D10&gt;0)+(E10&gt;0)+(F10&gt;0)&gt;1,"GETEILT",IF(G10&gt;0,"teilweise unbelegt","ok")),"ok"))</f>
        <v/>
      </c>
    </row>
    <row r="11">
      <c r="A11" s="9" t="inlineStr">
        <is>
          <t>Zündung 5-6 (unbenutzt)</t>
        </is>
      </c>
      <c r="B11" s="9" t="inlineStr">
        <is>
          <t>beliebig</t>
        </is>
      </c>
      <c r="C11" s="9">
        <f>COUNTIF(Signale!$A$2:$A$150,A11)</f>
        <v/>
      </c>
      <c r="D11" s="9">
        <f>COUNTIFS(Signale!$A$2:$A$150,A11,Signale!$G$2:$G$150,"A")</f>
        <v/>
      </c>
      <c r="E11" s="9">
        <f>COUNTIFS(Signale!$A$2:$A$150,A11,Signale!$G$2:$G$150,"B")</f>
        <v/>
      </c>
      <c r="F11" s="9">
        <f>COUNTIFS(Signale!$A$2:$A$150,A11,Signale!$G$2:$G$150,"EGT")</f>
        <v/>
      </c>
      <c r="G11" s="9">
        <f>C11-D11-E11-F11</f>
        <v/>
      </c>
      <c r="H11" s="9">
        <f>IF(B11="auf A und B",IF(AND(D11&gt;0,E11&gt;0),"ok","FEHLT auf "&amp;IF(D11=0,"A","B")),IF(B11="ein Stecker",IF((D11&gt;0)+(E11&gt;0)+(F11&gt;0)&gt;1,"GETEILT",IF(G11&gt;0,"teilweise unbelegt","ok")),"ok"))</f>
        <v/>
      </c>
    </row>
    <row r="12">
      <c r="A12" s="9" t="inlineStr">
        <is>
          <t>GPPWM 1-2</t>
        </is>
      </c>
      <c r="B12" s="9" t="inlineStr">
        <is>
          <t>ein Stecker</t>
        </is>
      </c>
      <c r="C12" s="9">
        <f>COUNTIF(Signale!$A$2:$A$150,A12)</f>
        <v/>
      </c>
      <c r="D12" s="9">
        <f>COUNTIFS(Signale!$A$2:$A$150,A12,Signale!$G$2:$G$150,"A")</f>
        <v/>
      </c>
      <c r="E12" s="9">
        <f>COUNTIFS(Signale!$A$2:$A$150,A12,Signale!$G$2:$G$150,"B")</f>
        <v/>
      </c>
      <c r="F12" s="9">
        <f>COUNTIFS(Signale!$A$2:$A$150,A12,Signale!$G$2:$G$150,"EGT")</f>
        <v/>
      </c>
      <c r="G12" s="9">
        <f>C12-D12-E12-F12</f>
        <v/>
      </c>
      <c r="H12" s="9">
        <f>IF(B12="auf A und B",IF(AND(D12&gt;0,E12&gt;0),"ok","FEHLT auf "&amp;IF(D12=0,"A","B")),IF(B12="ein Stecker",IF((D12&gt;0)+(E12&gt;0)+(F12&gt;0)&gt;1,"GETEILT",IF(G12&gt;0,"teilweise unbelegt","ok")),"ok"))</f>
        <v/>
      </c>
    </row>
    <row r="13">
      <c r="A13" s="9" t="inlineStr">
        <is>
          <t>GPPWM 3-4</t>
        </is>
      </c>
      <c r="B13" s="9" t="inlineStr">
        <is>
          <t>ein Stecker</t>
        </is>
      </c>
      <c r="C13" s="9">
        <f>COUNTIF(Signale!$A$2:$A$150,A13)</f>
        <v/>
      </c>
      <c r="D13" s="9">
        <f>COUNTIFS(Signale!$A$2:$A$150,A13,Signale!$G$2:$G$150,"A")</f>
        <v/>
      </c>
      <c r="E13" s="9">
        <f>COUNTIFS(Signale!$A$2:$A$150,A13,Signale!$G$2:$G$150,"B")</f>
        <v/>
      </c>
      <c r="F13" s="9">
        <f>COUNTIFS(Signale!$A$2:$A$150,A13,Signale!$G$2:$G$150,"EGT")</f>
        <v/>
      </c>
      <c r="G13" s="9">
        <f>C13-D13-E13-F13</f>
        <v/>
      </c>
      <c r="H13" s="9">
        <f>IF(B13="auf A und B",IF(AND(D13&gt;0,E13&gt;0),"ok","FEHLT auf "&amp;IF(D13=0,"A","B")),IF(B13="ein Stecker",IF((D13&gt;0)+(E13&gt;0)+(F13&gt;0)&gt;1,"GETEILT",IF(G13&gt;0,"teilweise unbelegt","ok")),"ok"))</f>
        <v/>
      </c>
    </row>
    <row r="14">
      <c r="A14" s="9" t="inlineStr">
        <is>
          <t>Basis-Sensoren</t>
        </is>
      </c>
      <c r="B14" s="9" t="inlineStr">
        <is>
          <t>ein Stecker</t>
        </is>
      </c>
      <c r="C14" s="9">
        <f>COUNTIF(Signale!$A$2:$A$150,A14)</f>
        <v/>
      </c>
      <c r="D14" s="9">
        <f>COUNTIFS(Signale!$A$2:$A$150,A14,Signale!$G$2:$G$150,"A")</f>
        <v/>
      </c>
      <c r="E14" s="9">
        <f>COUNTIFS(Signale!$A$2:$A$150,A14,Signale!$G$2:$G$150,"B")</f>
        <v/>
      </c>
      <c r="F14" s="9">
        <f>COUNTIFS(Signale!$A$2:$A$150,A14,Signale!$G$2:$G$150,"EGT")</f>
        <v/>
      </c>
      <c r="G14" s="9">
        <f>C14-D14-E14-F14</f>
        <v/>
      </c>
      <c r="H14" s="9">
        <f>IF(B14="auf A und B",IF(AND(D14&gt;0,E14&gt;0),"ok","FEHLT auf "&amp;IF(D14=0,"A","B")),IF(B14="ein Stecker",IF((D14&gt;0)+(E14&gt;0)+(F14&gt;0)&gt;1,"GETEILT",IF(G14&gt;0,"teilweise unbelegt","ok")),"ok"))</f>
        <v/>
      </c>
    </row>
    <row r="15">
      <c r="A15" s="9" t="inlineStr">
        <is>
          <t>Hall 1</t>
        </is>
      </c>
      <c r="B15" s="9" t="inlineStr">
        <is>
          <t>ein Stecker</t>
        </is>
      </c>
      <c r="C15" s="9">
        <f>COUNTIF(Signale!$A$2:$A$150,A15)</f>
        <v/>
      </c>
      <c r="D15" s="9">
        <f>COUNTIFS(Signale!$A$2:$A$150,A15,Signale!$G$2:$G$150,"A")</f>
        <v/>
      </c>
      <c r="E15" s="9">
        <f>COUNTIFS(Signale!$A$2:$A$150,A15,Signale!$G$2:$G$150,"B")</f>
        <v/>
      </c>
      <c r="F15" s="9">
        <f>COUNTIFS(Signale!$A$2:$A$150,A15,Signale!$G$2:$G$150,"EGT")</f>
        <v/>
      </c>
      <c r="G15" s="9">
        <f>C15-D15-E15-F15</f>
        <v/>
      </c>
      <c r="H15" s="9">
        <f>IF(B15="auf A und B",IF(AND(D15&gt;0,E15&gt;0),"ok","FEHLT auf "&amp;IF(D15=0,"A","B")),IF(B15="ein Stecker",IF((D15&gt;0)+(E15&gt;0)+(F15&gt;0)&gt;1,"GETEILT",IF(G15&gt;0,"teilweise unbelegt","ok")),"ok"))</f>
        <v/>
      </c>
    </row>
    <row r="16">
      <c r="A16" s="9" t="inlineStr">
        <is>
          <t>Lambda 1</t>
        </is>
      </c>
      <c r="B16" s="9" t="inlineStr">
        <is>
          <t>ein Stecker</t>
        </is>
      </c>
      <c r="C16" s="9">
        <f>COUNTIF(Signale!$A$2:$A$150,A16)</f>
        <v/>
      </c>
      <c r="D16" s="9">
        <f>COUNTIFS(Signale!$A$2:$A$150,A16,Signale!$G$2:$G$150,"A")</f>
        <v/>
      </c>
      <c r="E16" s="9">
        <f>COUNTIFS(Signale!$A$2:$A$150,A16,Signale!$G$2:$G$150,"B")</f>
        <v/>
      </c>
      <c r="F16" s="9">
        <f>COUNTIFS(Signale!$A$2:$A$150,A16,Signale!$G$2:$G$150,"EGT")</f>
        <v/>
      </c>
      <c r="G16" s="9">
        <f>C16-D16-E16-F16</f>
        <v/>
      </c>
      <c r="H16" s="9">
        <f>IF(B16="auf A und B",IF(AND(D16&gt;0,E16&gt;0),"ok","FEHLT auf "&amp;IF(D16=0,"A","B")),IF(B16="ein Stecker",IF((D16&gt;0)+(E16&gt;0)+(F16&gt;0)&gt;1,"GETEILT",IF(G16&gt;0,"teilweise unbelegt","ok")),"ok"))</f>
        <v/>
      </c>
    </row>
    <row r="17">
      <c r="A17" s="9" t="inlineStr">
        <is>
          <t>Lambda 2</t>
        </is>
      </c>
      <c r="B17" s="9" t="inlineStr">
        <is>
          <t>ein Stecker</t>
        </is>
      </c>
      <c r="C17" s="9">
        <f>COUNTIF(Signale!$A$2:$A$150,A17)</f>
        <v/>
      </c>
      <c r="D17" s="9">
        <f>COUNTIFS(Signale!$A$2:$A$150,A17,Signale!$G$2:$G$150,"A")</f>
        <v/>
      </c>
      <c r="E17" s="9">
        <f>COUNTIFS(Signale!$A$2:$A$150,A17,Signale!$G$2:$G$150,"B")</f>
        <v/>
      </c>
      <c r="F17" s="9">
        <f>COUNTIFS(Signale!$A$2:$A$150,A17,Signale!$G$2:$G$150,"EGT")</f>
        <v/>
      </c>
      <c r="G17" s="9">
        <f>C17-D17-E17-F17</f>
        <v/>
      </c>
      <c r="H17" s="9">
        <f>IF(B17="auf A und B",IF(AND(D17&gt;0,E17&gt;0),"ok","FEHLT auf "&amp;IF(D17=0,"A","B")),IF(B17="ein Stecker",IF((D17&gt;0)+(E17&gt;0)+(F17&gt;0)&gt;1,"GETEILT",IF(G17&gt;0,"teilweise unbelegt","ok")),"ok"))</f>
        <v/>
      </c>
    </row>
    <row r="18">
      <c r="A18" s="9" t="inlineStr">
        <is>
          <t>USB</t>
        </is>
      </c>
      <c r="B18" s="9" t="inlineStr">
        <is>
          <t>ein Stecker</t>
        </is>
      </c>
      <c r="C18" s="9">
        <f>COUNTIF(Signale!$A$2:$A$150,A18)</f>
        <v/>
      </c>
      <c r="D18" s="9">
        <f>COUNTIFS(Signale!$A$2:$A$150,A18,Signale!$G$2:$G$150,"A")</f>
        <v/>
      </c>
      <c r="E18" s="9">
        <f>COUNTIFS(Signale!$A$2:$A$150,A18,Signale!$G$2:$G$150,"B")</f>
        <v/>
      </c>
      <c r="F18" s="9">
        <f>COUNTIFS(Signale!$A$2:$A$150,A18,Signale!$G$2:$G$150,"EGT")</f>
        <v/>
      </c>
      <c r="G18" s="9">
        <f>C18-D18-E18-F18</f>
        <v/>
      </c>
      <c r="H18" s="9">
        <f>IF(B18="auf A und B",IF(AND(D18&gt;0,E18&gt;0),"ok","FEHLT auf "&amp;IF(D18=0,"A","B")),IF(B18="ein Stecker",IF((D18&gt;0)+(E18&gt;0)+(F18&gt;0)&gt;1,"GETEILT",IF(G18&gt;0,"teilweise unbelegt","ok")),"ok"))</f>
        <v/>
      </c>
    </row>
    <row r="19">
      <c r="A19" s="9" t="inlineStr">
        <is>
          <t>CAN</t>
        </is>
      </c>
      <c r="B19" s="9" t="inlineStr">
        <is>
          <t>ein Stecker</t>
        </is>
      </c>
      <c r="C19" s="9">
        <f>COUNTIF(Signale!$A$2:$A$150,A19)</f>
        <v/>
      </c>
      <c r="D19" s="9">
        <f>COUNTIFS(Signale!$A$2:$A$150,A19,Signale!$G$2:$G$150,"A")</f>
        <v/>
      </c>
      <c r="E19" s="9">
        <f>COUNTIFS(Signale!$A$2:$A$150,A19,Signale!$G$2:$G$150,"B")</f>
        <v/>
      </c>
      <c r="F19" s="9">
        <f>COUNTIFS(Signale!$A$2:$A$150,A19,Signale!$G$2:$G$150,"EGT")</f>
        <v/>
      </c>
      <c r="G19" s="9">
        <f>C19-D19-E19-F19</f>
        <v/>
      </c>
      <c r="H19" s="9">
        <f>IF(B19="auf A und B",IF(AND(D19&gt;0,E19&gt;0),"ok","FEHLT auf "&amp;IF(D19=0,"A","B")),IF(B19="ein Stecker",IF((D19&gt;0)+(E19&gt;0)+(F19&gt;0)&gt;1,"GETEILT",IF(G19&gt;0,"teilweise unbelegt","ok")),"ok"))</f>
        <v/>
      </c>
    </row>
    <row r="20">
      <c r="A20" s="9" t="inlineStr">
        <is>
          <t>Relais-Ausgang 1</t>
        </is>
      </c>
      <c r="B20" s="9" t="inlineStr">
        <is>
          <t>ein Stecker</t>
        </is>
      </c>
      <c r="C20" s="9">
        <f>COUNTIF(Signale!$A$2:$A$150,A20)</f>
        <v/>
      </c>
      <c r="D20" s="9">
        <f>COUNTIFS(Signale!$A$2:$A$150,A20,Signale!$G$2:$G$150,"A")</f>
        <v/>
      </c>
      <c r="E20" s="9">
        <f>COUNTIFS(Signale!$A$2:$A$150,A20,Signale!$G$2:$G$150,"B")</f>
        <v/>
      </c>
      <c r="F20" s="9">
        <f>COUNTIFS(Signale!$A$2:$A$150,A20,Signale!$G$2:$G$150,"EGT")</f>
        <v/>
      </c>
      <c r="G20" s="9">
        <f>C20-D20-E20-F20</f>
        <v/>
      </c>
      <c r="H20" s="9">
        <f>IF(B20="auf A und B",IF(AND(D20&gt;0,E20&gt;0),"ok","FEHLT auf "&amp;IF(D20=0,"A","B")),IF(B20="ein Stecker",IF((D20&gt;0)+(E20&gt;0)+(F20&gt;0)&gt;1,"GETEILT",IF(G20&gt;0,"teilweise unbelegt","ok")),"ok"))</f>
        <v/>
      </c>
    </row>
    <row r="21">
      <c r="A21" s="9" t="inlineStr">
        <is>
          <t>Relais-Ausgang 2</t>
        </is>
      </c>
      <c r="B21" s="9" t="inlineStr">
        <is>
          <t>ein Stecker</t>
        </is>
      </c>
      <c r="C21" s="9">
        <f>COUNTIF(Signale!$A$2:$A$150,A21)</f>
        <v/>
      </c>
      <c r="D21" s="9">
        <f>COUNTIFS(Signale!$A$2:$A$150,A21,Signale!$G$2:$G$150,"A")</f>
        <v/>
      </c>
      <c r="E21" s="9">
        <f>COUNTIFS(Signale!$A$2:$A$150,A21,Signale!$G$2:$G$150,"B")</f>
        <v/>
      </c>
      <c r="F21" s="9">
        <f>COUNTIFS(Signale!$A$2:$A$150,A21,Signale!$G$2:$G$150,"EGT")</f>
        <v/>
      </c>
      <c r="G21" s="9">
        <f>C21-D21-E21-F21</f>
        <v/>
      </c>
      <c r="H21" s="9">
        <f>IF(B21="auf A und B",IF(AND(D21&gt;0,E21&gt;0),"ok","FEHLT auf "&amp;IF(D21=0,"A","B")),IF(B21="ein Stecker",IF((D21&gt;0)+(E21&gt;0)+(F21&gt;0)&gt;1,"GETEILT",IF(G21&gt;0,"teilweise unbelegt","ok")),"ok"))</f>
        <v/>
      </c>
    </row>
    <row r="22">
      <c r="A22" s="9" t="inlineStr">
        <is>
          <t>Zusatz-Sensoren</t>
        </is>
      </c>
      <c r="B22" s="9" t="inlineStr">
        <is>
          <t>ein Stecker</t>
        </is>
      </c>
      <c r="C22" s="9">
        <f>COUNTIF(Signale!$A$2:$A$150,A22)</f>
        <v/>
      </c>
      <c r="D22" s="9">
        <f>COUNTIFS(Signale!$A$2:$A$150,A22,Signale!$G$2:$G$150,"A")</f>
        <v/>
      </c>
      <c r="E22" s="9">
        <f>COUNTIFS(Signale!$A$2:$A$150,A22,Signale!$G$2:$G$150,"B")</f>
        <v/>
      </c>
      <c r="F22" s="9">
        <f>COUNTIFS(Signale!$A$2:$A$150,A22,Signale!$G$2:$G$150,"EGT")</f>
        <v/>
      </c>
      <c r="G22" s="9">
        <f>C22-D22-E22-F22</f>
        <v/>
      </c>
      <c r="H22" s="9">
        <f>IF(B22="auf A und B",IF(AND(D22&gt;0,E22&gt;0),"ok","FEHLT auf "&amp;IF(D22=0,"A","B")),IF(B22="ein Stecker",IF((D22&gt;0)+(E22&gt;0)+(F22&gt;0)&gt;1,"GETEILT",IF(G22&gt;0,"teilweise unbelegt","ok")),"ok"))</f>
        <v/>
      </c>
    </row>
    <row r="23">
      <c r="A23" s="9" t="inlineStr">
        <is>
          <t>Analog-Eingänge</t>
        </is>
      </c>
      <c r="B23" s="9" t="inlineStr">
        <is>
          <t>ein Stecker</t>
        </is>
      </c>
      <c r="C23" s="9">
        <f>COUNTIF(Signale!$A$2:$A$150,A23)</f>
        <v/>
      </c>
      <c r="D23" s="9">
        <f>COUNTIFS(Signale!$A$2:$A$150,A23,Signale!$G$2:$G$150,"A")</f>
        <v/>
      </c>
      <c r="E23" s="9">
        <f>COUNTIFS(Signale!$A$2:$A$150,A23,Signale!$G$2:$G$150,"B")</f>
        <v/>
      </c>
      <c r="F23" s="9">
        <f>COUNTIFS(Signale!$A$2:$A$150,A23,Signale!$G$2:$G$150,"EGT")</f>
        <v/>
      </c>
      <c r="G23" s="9">
        <f>C23-D23-E23-F23</f>
        <v/>
      </c>
      <c r="H23" s="9">
        <f>IF(B23="auf A und B",IF(AND(D23&gt;0,E23&gt;0),"ok","FEHLT auf "&amp;IF(D23=0,"A","B")),IF(B23="ein Stecker",IF((D23&gt;0)+(E23&gt;0)+(F23&gt;0)&gt;1,"GETEILT",IF(G23&gt;0,"teilweise unbelegt","ok")),"ok"))</f>
        <v/>
      </c>
    </row>
    <row r="24">
      <c r="A24" s="9" t="inlineStr">
        <is>
          <t>Hall 2-3</t>
        </is>
      </c>
      <c r="B24" s="9" t="inlineStr">
        <is>
          <t>ein Stecker</t>
        </is>
      </c>
      <c r="C24" s="9">
        <f>COUNTIF(Signale!$A$2:$A$150,A24)</f>
        <v/>
      </c>
      <c r="D24" s="9">
        <f>COUNTIFS(Signale!$A$2:$A$150,A24,Signale!$G$2:$G$150,"A")</f>
        <v/>
      </c>
      <c r="E24" s="9">
        <f>COUNTIFS(Signale!$A$2:$A$150,A24,Signale!$G$2:$G$150,"B")</f>
        <v/>
      </c>
      <c r="F24" s="9">
        <f>COUNTIFS(Signale!$A$2:$A$150,A24,Signale!$G$2:$G$150,"EGT")</f>
        <v/>
      </c>
      <c r="G24" s="9">
        <f>C24-D24-E24-F24</f>
        <v/>
      </c>
      <c r="H24" s="9">
        <f>IF(B24="auf A und B",IF(AND(D24&gt;0,E24&gt;0),"ok","FEHLT auf "&amp;IF(D24=0,"A","B")),IF(B24="ein Stecker",IF((D24&gt;0)+(E24&gt;0)+(F24&gt;0)&gt;1,"GETEILT",IF(G24&gt;0,"teilweise unbelegt","ok")),"ok"))</f>
        <v/>
      </c>
    </row>
    <row r="25">
      <c r="A25" s="9" t="inlineStr">
        <is>
          <t>Digital-Eingänge</t>
        </is>
      </c>
      <c r="B25" s="9" t="inlineStr">
        <is>
          <t>ein Stecker</t>
        </is>
      </c>
      <c r="C25" s="9">
        <f>COUNTIF(Signale!$A$2:$A$150,A25)</f>
        <v/>
      </c>
      <c r="D25" s="9">
        <f>COUNTIFS(Signale!$A$2:$A$150,A25,Signale!$G$2:$G$150,"A")</f>
        <v/>
      </c>
      <c r="E25" s="9">
        <f>COUNTIFS(Signale!$A$2:$A$150,A25,Signale!$G$2:$G$150,"B")</f>
        <v/>
      </c>
      <c r="F25" s="9">
        <f>COUNTIFS(Signale!$A$2:$A$150,A25,Signale!$G$2:$G$150,"EGT")</f>
        <v/>
      </c>
      <c r="G25" s="9">
        <f>C25-D25-E25-F25</f>
        <v/>
      </c>
      <c r="H25" s="9">
        <f>IF(B25="auf A und B",IF(AND(D25&gt;0,E25&gt;0),"ok","FEHLT auf "&amp;IF(D25=0,"A","B")),IF(B25="ein Stecker",IF((D25&gt;0)+(E25&gt;0)+(F25&gt;0)&gt;1,"GETEILT",IF(G25&gt;0,"teilweise unbelegt","ok")),"ok"))</f>
        <v/>
      </c>
    </row>
    <row r="26">
      <c r="A26" s="9" t="inlineStr">
        <is>
          <t>Reserve Eingänge</t>
        </is>
      </c>
      <c r="B26" s="9" t="inlineStr">
        <is>
          <t>beliebig</t>
        </is>
      </c>
      <c r="C26" s="9">
        <f>COUNTIF(Signale!$A$2:$A$150,A26)</f>
        <v/>
      </c>
      <c r="D26" s="9">
        <f>COUNTIFS(Signale!$A$2:$A$150,A26,Signale!$G$2:$G$150,"A")</f>
        <v/>
      </c>
      <c r="E26" s="9">
        <f>COUNTIFS(Signale!$A$2:$A$150,A26,Signale!$G$2:$G$150,"B")</f>
        <v/>
      </c>
      <c r="F26" s="9">
        <f>COUNTIFS(Signale!$A$2:$A$150,A26,Signale!$G$2:$G$150,"EGT")</f>
        <v/>
      </c>
      <c r="G26" s="9">
        <f>C26-D26-E26-F26</f>
        <v/>
      </c>
      <c r="H26" s="9">
        <f>IF(B26="auf A und B",IF(AND(D26&gt;0,E26&gt;0),"ok","FEHLT auf "&amp;IF(D26=0,"A","B")),IF(B26="ein Stecker",IF((D26&gt;0)+(E26&gt;0)+(F26&gt;0)&gt;1,"GETEILT",IF(G26&gt;0,"teilweise unbelegt","ok")),"ok"))</f>
        <v/>
      </c>
    </row>
    <row r="27">
      <c r="A27" s="9" t="inlineStr">
        <is>
          <t>VR</t>
        </is>
      </c>
      <c r="B27" s="9" t="inlineStr">
        <is>
          <t>ein Stecker</t>
        </is>
      </c>
      <c r="C27" s="9">
        <f>COUNTIF(Signale!$A$2:$A$150,A27)</f>
        <v/>
      </c>
      <c r="D27" s="9">
        <f>COUNTIFS(Signale!$A$2:$A$150,A27,Signale!$G$2:$G$150,"A")</f>
        <v/>
      </c>
      <c r="E27" s="9">
        <f>COUNTIFS(Signale!$A$2:$A$150,A27,Signale!$G$2:$G$150,"B")</f>
        <v/>
      </c>
      <c r="F27" s="9">
        <f>COUNTIFS(Signale!$A$2:$A$150,A27,Signale!$G$2:$G$150,"EGT")</f>
        <v/>
      </c>
      <c r="G27" s="9">
        <f>C27-D27-E27-F27</f>
        <v/>
      </c>
      <c r="H27" s="9">
        <f>IF(B27="auf A und B",IF(AND(D27&gt;0,E27&gt;0),"ok","FEHLT auf "&amp;IF(D27=0,"A","B")),IF(B27="ein Stecker",IF((D27&gt;0)+(E27&gt;0)+(F27&gt;0)&gt;1,"GETEILT",IF(G27&gt;0,"teilweise unbelegt","ok")),"ok"))</f>
        <v/>
      </c>
    </row>
    <row r="28">
      <c r="A28" s="9" t="inlineStr">
        <is>
          <t>Klopfsensor</t>
        </is>
      </c>
      <c r="B28" s="9" t="inlineStr">
        <is>
          <t>ein Stecker</t>
        </is>
      </c>
      <c r="C28" s="9">
        <f>COUNTIF(Signale!$A$2:$A$150,A28)</f>
        <v/>
      </c>
      <c r="D28" s="9">
        <f>COUNTIFS(Signale!$A$2:$A$150,A28,Signale!$G$2:$G$150,"A")</f>
        <v/>
      </c>
      <c r="E28" s="9">
        <f>COUNTIFS(Signale!$A$2:$A$150,A28,Signale!$G$2:$G$150,"B")</f>
        <v/>
      </c>
      <c r="F28" s="9">
        <f>COUNTIFS(Signale!$A$2:$A$150,A28,Signale!$G$2:$G$150,"EGT")</f>
        <v/>
      </c>
      <c r="G28" s="9">
        <f>C28-D28-E28-F28</f>
        <v/>
      </c>
      <c r="H28" s="9">
        <f>IF(B28="auf A und B",IF(AND(D28&gt;0,E28&gt;0),"ok","FEHLT auf "&amp;IF(D28=0,"A","B")),IF(B28="ein Stecker",IF((D28&gt;0)+(E28&gt;0)+(F28&gt;0)&gt;1,"GETEILT",IF(G28&gt;0,"teilweise unbelegt","ok")),"ok"))</f>
        <v/>
      </c>
    </row>
    <row r="29">
      <c r="A29" s="9" t="inlineStr">
        <is>
          <t>EGT1</t>
        </is>
      </c>
      <c r="B29" s="9" t="inlineStr">
        <is>
          <t>ein Stecker</t>
        </is>
      </c>
      <c r="C29" s="9">
        <f>COUNTIF(Signale!$A$2:$A$150,A29)</f>
        <v/>
      </c>
      <c r="D29" s="9">
        <f>COUNTIFS(Signale!$A$2:$A$150,A29,Signale!$G$2:$G$150,"A")</f>
        <v/>
      </c>
      <c r="E29" s="9">
        <f>COUNTIFS(Signale!$A$2:$A$150,A29,Signale!$G$2:$G$150,"B")</f>
        <v/>
      </c>
      <c r="F29" s="9">
        <f>COUNTIFS(Signale!$A$2:$A$150,A29,Signale!$G$2:$G$150,"EGT")</f>
        <v/>
      </c>
      <c r="G29" s="9">
        <f>C29-D29-E29-F29</f>
        <v/>
      </c>
      <c r="H29" s="9">
        <f>IF(B29="auf A und B",IF(AND(D29&gt;0,E29&gt;0),"ok","FEHLT auf "&amp;IF(D29=0,"A","B")),IF(B29="ein Stecker",IF((D29&gt;0)+(E29&gt;0)+(F29&gt;0)&gt;1,"GETEILT",IF(G29&gt;0,"teilweise unbelegt","ok")),"ok"))</f>
        <v/>
      </c>
    </row>
    <row r="30">
      <c r="A30" s="9" t="inlineStr">
        <is>
          <t>EGT2</t>
        </is>
      </c>
      <c r="B30" s="9" t="inlineStr">
        <is>
          <t>ein Stecker</t>
        </is>
      </c>
      <c r="C30" s="9">
        <f>COUNTIF(Signale!$A$2:$A$150,A30)</f>
        <v/>
      </c>
      <c r="D30" s="9">
        <f>COUNTIFS(Signale!$A$2:$A$150,A30,Signale!$G$2:$G$150,"A")</f>
        <v/>
      </c>
      <c r="E30" s="9">
        <f>COUNTIFS(Signale!$A$2:$A$150,A30,Signale!$G$2:$G$150,"B")</f>
        <v/>
      </c>
      <c r="F30" s="9">
        <f>COUNTIFS(Signale!$A$2:$A$150,A30,Signale!$G$2:$G$150,"EGT")</f>
        <v/>
      </c>
      <c r="G30" s="9">
        <f>C30-D30-E30-F30</f>
        <v/>
      </c>
      <c r="H30" s="9">
        <f>IF(B30="auf A und B",IF(AND(D30&gt;0,E30&gt;0),"ok","FEHLT auf "&amp;IF(D30=0,"A","B")),IF(B30="ein Stecker",IF((D30&gt;0)+(E30&gt;0)+(F30&gt;0)&gt;1,"GETEILT",IF(G30&gt;0,"teilweise unbelegt","ok")),"ok"))</f>
        <v/>
      </c>
    </row>
    <row r="31">
      <c r="A31" s="9" t="inlineStr">
        <is>
          <t>EGT3</t>
        </is>
      </c>
      <c r="B31" s="9" t="inlineStr">
        <is>
          <t>ein Stecker</t>
        </is>
      </c>
      <c r="C31" s="9">
        <f>COUNTIF(Signale!$A$2:$A$150,A31)</f>
        <v/>
      </c>
      <c r="D31" s="9">
        <f>COUNTIFS(Signale!$A$2:$A$150,A31,Signale!$G$2:$G$150,"A")</f>
        <v/>
      </c>
      <c r="E31" s="9">
        <f>COUNTIFS(Signale!$A$2:$A$150,A31,Signale!$G$2:$G$150,"B")</f>
        <v/>
      </c>
      <c r="F31" s="9">
        <f>COUNTIFS(Signale!$A$2:$A$150,A31,Signale!$G$2:$G$150,"EGT")</f>
        <v/>
      </c>
      <c r="G31" s="9">
        <f>C31-D31-E31-F31</f>
        <v/>
      </c>
      <c r="H31" s="9">
        <f>IF(B31="auf A und B",IF(AND(D31&gt;0,E31&gt;0),"ok","FEHLT auf "&amp;IF(D31=0,"A","B")),IF(B31="ein Stecker",IF((D31&gt;0)+(E31&gt;0)+(F31&gt;0)&gt;1,"GETEILT",IF(G31&gt;0,"teilweise unbelegt","ok")),"ok"))</f>
        <v/>
      </c>
    </row>
    <row r="32">
      <c r="A32" s="9" t="inlineStr">
        <is>
          <t>EGT4</t>
        </is>
      </c>
      <c r="B32" s="9" t="inlineStr">
        <is>
          <t>ein Stecker</t>
        </is>
      </c>
      <c r="C32" s="9">
        <f>COUNTIF(Signale!$A$2:$A$150,A32)</f>
        <v/>
      </c>
      <c r="D32" s="9">
        <f>COUNTIFS(Signale!$A$2:$A$150,A32,Signale!$G$2:$G$150,"A")</f>
        <v/>
      </c>
      <c r="E32" s="9">
        <f>COUNTIFS(Signale!$A$2:$A$150,A32,Signale!$G$2:$G$150,"B")</f>
        <v/>
      </c>
      <c r="F32" s="9">
        <f>COUNTIFS(Signale!$A$2:$A$150,A32,Signale!$G$2:$G$150,"EGT")</f>
        <v/>
      </c>
      <c r="G32" s="9">
        <f>C32-D32-E32-F32</f>
        <v/>
      </c>
      <c r="H32" s="9">
        <f>IF(B32="auf A und B",IF(AND(D32&gt;0,E32&gt;0),"ok","FEHLT auf "&amp;IF(D32=0,"A","B")),IF(B32="ein Stecker",IF((D32&gt;0)+(E32&gt;0)+(F32&gt;0)&gt;1,"GETEILT",IF(G32&gt;0,"teilweise unbelegt","ok")),"ok"))</f>
        <v/>
      </c>
    </row>
    <row r="33">
      <c r="A33" s="9" t="inlineStr">
        <is>
          <t>Reserve MCU</t>
        </is>
      </c>
      <c r="B33" s="9" t="inlineStr">
        <is>
          <t>beliebig</t>
        </is>
      </c>
      <c r="C33" s="9">
        <f>COUNTIF(Signale!$A$2:$A$150,A33)</f>
        <v/>
      </c>
      <c r="D33" s="9">
        <f>COUNTIFS(Signale!$A$2:$A$150,A33,Signale!$G$2:$G$150,"A")</f>
        <v/>
      </c>
      <c r="E33" s="9">
        <f>COUNTIFS(Signale!$A$2:$A$150,A33,Signale!$G$2:$G$150,"B")</f>
        <v/>
      </c>
      <c r="F33" s="9">
        <f>COUNTIFS(Signale!$A$2:$A$150,A33,Signale!$G$2:$G$150,"EGT")</f>
        <v/>
      </c>
      <c r="G33" s="9">
        <f>C33-D33-E33-F33</f>
        <v/>
      </c>
      <c r="H33" s="9">
        <f>IF(B33="auf A und B",IF(AND(D33&gt;0,E33&gt;0),"ok","FEHLT auf "&amp;IF(D33=0,"A","B")),IF(B33="ein Stecker",IF((D33&gt;0)+(E33&gt;0)+(F33&gt;0)&gt;1,"GETEILT",IF(G33&gt;0,"teilweise unbelegt","ok")),"ok"))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14" t="inlineStr">
        <is>
          <t>Belegte Pins</t>
        </is>
      </c>
      <c r="B35" s="9" t="n"/>
      <c r="C35" s="9" t="n"/>
      <c r="D35" s="9">
        <f>'Stecker A'!B37</f>
        <v/>
      </c>
      <c r="E35" s="9">
        <f>'Stecker B'!B37</f>
        <v/>
      </c>
      <c r="F35" s="9">
        <f>EGT!B11</f>
        <v/>
      </c>
      <c r="G35" s="9" t="n"/>
      <c r="H35" s="9" t="n"/>
    </row>
    <row r="36">
      <c r="A36" s="14" t="inlineStr">
        <is>
          <t>Doppelt belegte Signale</t>
        </is>
      </c>
      <c r="B36" s="9" t="n"/>
      <c r="C36" s="9" t="n"/>
      <c r="D36" s="9">
        <f>COUNTIF(Signale!$K$2:$K$150,"DOPPELT")</f>
        <v/>
      </c>
      <c r="E36" s="9" t="n"/>
      <c r="F36" s="9" t="n"/>
      <c r="G36" s="9" t="n"/>
      <c r="H36" s="9" t="n"/>
    </row>
    <row r="37">
      <c r="A37" s="14" t="inlineStr">
        <is>
          <t>Regelverstöße Gruppen</t>
        </is>
      </c>
      <c r="B37" s="9" t="n"/>
      <c r="C37" s="9" t="n"/>
      <c r="D37" s="9">
        <f>COUNTIF(H2:H33,"GETEILT")+COUNTIF(H2:H33,"FEHLT*")</f>
        <v/>
      </c>
      <c r="E37" s="9" t="n"/>
      <c r="F37" s="9" t="n"/>
      <c r="G37" s="9" t="n"/>
      <c r="H37" s="9" t="n"/>
    </row>
  </sheetData>
  <conditionalFormatting sqref="H2:H33">
    <cfRule type="cellIs" priority="1" operator="equal" dxfId="1">
      <formula>"ok"</formula>
    </cfRule>
    <cfRule type="expression" priority="2" dxfId="0">
      <formula>AND(H2&lt;&gt;"ok",H2&lt;&gt;"")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8" customWidth="1" min="4" max="4"/>
    <col width="18" customWidth="1" min="5" max="5"/>
    <col width="10" customWidth="1" min="6" max="6"/>
    <col width="11" customWidth="1" min="7" max="7"/>
    <col width="14" customWidth="1" min="8" max="8"/>
    <col width="12" customWidth="1" min="9" max="9"/>
  </cols>
  <sheetData>
    <row r="1">
      <c r="A1" s="13" t="inlineStr">
        <is>
          <t>Pin</t>
        </is>
      </c>
      <c r="B1" s="13" t="inlineStr">
        <is>
          <t>Signal</t>
        </is>
      </c>
      <c r="C1" s="13" t="inlineStr">
        <is>
          <t>Gruppe</t>
        </is>
      </c>
      <c r="D1" s="13" t="inlineStr">
        <is>
          <t>Netz</t>
        </is>
      </c>
      <c r="E1" s="13" t="inlineStr">
        <is>
          <t>Typ</t>
        </is>
      </c>
      <c r="F1" s="13" t="inlineStr">
        <is>
          <t>Strom max</t>
        </is>
      </c>
      <c r="G1" s="13" t="inlineStr">
        <is>
          <t>Belegung</t>
        </is>
      </c>
      <c r="H1" s="13" t="inlineStr">
        <is>
          <t>Kabelfarbe</t>
        </is>
      </c>
      <c r="I1" s="13" t="inlineStr">
        <is>
          <t>Querschnitt mm²</t>
        </is>
      </c>
    </row>
    <row r="2">
      <c r="A2" s="5" t="n">
        <v>1</v>
      </c>
      <c r="B2" s="5">
        <f>IFERROR(INDEX(Signale!$B$2:$B$150,MATCH("A-1",Signale!$J$2:$J$150,0)),"")</f>
        <v/>
      </c>
      <c r="C2" s="5">
        <f>IFERROR(INDEX(Signale!$A$2:$A$150,MATCH("A-1",Signale!$J$2:$J$150,0)),"")</f>
        <v/>
      </c>
      <c r="D2" s="5">
        <f>IFERROR(INDEX(Signale!$C$2:$C$150,MATCH("A-1",Signale!$J$2:$J$150,0)),"")</f>
        <v/>
      </c>
      <c r="E2" s="5">
        <f>IFERROR(INDEX(Signale!$E$2:$E$150,MATCH("A-1",Signale!$J$2:$J$150,0)),"")</f>
        <v/>
      </c>
      <c r="F2" s="5">
        <f>IFERROR(INDEX(Signale!$F$2:$F$150,MATCH("A-1",Signale!$J$2:$J$150,0)),"")</f>
        <v/>
      </c>
      <c r="G2" s="5">
        <f>IF(COUNTIF(Signale!$J$2:$J$150,"A-1")=0,"frei",IF(COUNTIF(Signale!$J$2:$J$150,"A-1")&gt;1,"DOPPELT","belegt"))</f>
        <v/>
      </c>
      <c r="H2" s="5">
        <f>IFERROR(IF(INDEX(Signale!$L$2:$L$150,MATCH("A-1",Signale!$J$2:$J$150,0))="","",INDEX(Signale!$L$2:$L$150,MATCH("A-1",Signale!$J$2:$J$150,0))),"")</f>
        <v/>
      </c>
      <c r="I2" s="5">
        <f>IFERROR(IF(INDEX(Signale!$M$2:$M$150,MATCH("A-1",Signale!$J$2:$J$150,0))="","",INDEX(Signale!$M$2:$M$150,MATCH("A-1",Signale!$J$2:$J$150,0))),"")</f>
        <v/>
      </c>
    </row>
    <row r="3">
      <c r="A3" s="5" t="n">
        <v>2</v>
      </c>
      <c r="B3" s="5">
        <f>IFERROR(INDEX(Signale!$B$2:$B$150,MATCH("A-2",Signale!$J$2:$J$150,0)),"")</f>
        <v/>
      </c>
      <c r="C3" s="5">
        <f>IFERROR(INDEX(Signale!$A$2:$A$150,MATCH("A-2",Signale!$J$2:$J$150,0)),"")</f>
        <v/>
      </c>
      <c r="D3" s="5">
        <f>IFERROR(INDEX(Signale!$C$2:$C$150,MATCH("A-2",Signale!$J$2:$J$150,0)),"")</f>
        <v/>
      </c>
      <c r="E3" s="5">
        <f>IFERROR(INDEX(Signale!$E$2:$E$150,MATCH("A-2",Signale!$J$2:$J$150,0)),"")</f>
        <v/>
      </c>
      <c r="F3" s="5">
        <f>IFERROR(INDEX(Signale!$F$2:$F$150,MATCH("A-2",Signale!$J$2:$J$150,0)),"")</f>
        <v/>
      </c>
      <c r="G3" s="5">
        <f>IF(COUNTIF(Signale!$J$2:$J$150,"A-2")=0,"frei",IF(COUNTIF(Signale!$J$2:$J$150,"A-2")&gt;1,"DOPPELT","belegt"))</f>
        <v/>
      </c>
      <c r="H3" s="5">
        <f>IFERROR(IF(INDEX(Signale!$L$2:$L$150,MATCH("A-2",Signale!$J$2:$J$150,0))="","",INDEX(Signale!$L$2:$L$150,MATCH("A-2",Signale!$J$2:$J$150,0))),"")</f>
        <v/>
      </c>
      <c r="I3" s="5">
        <f>IFERROR(IF(INDEX(Signale!$M$2:$M$150,MATCH("A-2",Signale!$J$2:$J$150,0))="","",INDEX(Signale!$M$2:$M$150,MATCH("A-2",Signale!$J$2:$J$150,0))),"")</f>
        <v/>
      </c>
    </row>
    <row r="4">
      <c r="A4" s="5" t="n">
        <v>3</v>
      </c>
      <c r="B4" s="5">
        <f>IFERROR(INDEX(Signale!$B$2:$B$150,MATCH("A-3",Signale!$J$2:$J$150,0)),"")</f>
        <v/>
      </c>
      <c r="C4" s="5">
        <f>IFERROR(INDEX(Signale!$A$2:$A$150,MATCH("A-3",Signale!$J$2:$J$150,0)),"")</f>
        <v/>
      </c>
      <c r="D4" s="5">
        <f>IFERROR(INDEX(Signale!$C$2:$C$150,MATCH("A-3",Signale!$J$2:$J$150,0)),"")</f>
        <v/>
      </c>
      <c r="E4" s="5">
        <f>IFERROR(INDEX(Signale!$E$2:$E$150,MATCH("A-3",Signale!$J$2:$J$150,0)),"")</f>
        <v/>
      </c>
      <c r="F4" s="5">
        <f>IFERROR(INDEX(Signale!$F$2:$F$150,MATCH("A-3",Signale!$J$2:$J$150,0)),"")</f>
        <v/>
      </c>
      <c r="G4" s="5">
        <f>IF(COUNTIF(Signale!$J$2:$J$150,"A-3")=0,"frei",IF(COUNTIF(Signale!$J$2:$J$150,"A-3")&gt;1,"DOPPELT","belegt"))</f>
        <v/>
      </c>
      <c r="H4" s="5">
        <f>IFERROR(IF(INDEX(Signale!$L$2:$L$150,MATCH("A-3",Signale!$J$2:$J$150,0))="","",INDEX(Signale!$L$2:$L$150,MATCH("A-3",Signale!$J$2:$J$150,0))),"")</f>
        <v/>
      </c>
      <c r="I4" s="5">
        <f>IFERROR(IF(INDEX(Signale!$M$2:$M$150,MATCH("A-3",Signale!$J$2:$J$150,0))="","",INDEX(Signale!$M$2:$M$150,MATCH("A-3",Signale!$J$2:$J$150,0))),"")</f>
        <v/>
      </c>
    </row>
    <row r="5">
      <c r="A5" s="5" t="n">
        <v>4</v>
      </c>
      <c r="B5" s="5">
        <f>IFERROR(INDEX(Signale!$B$2:$B$150,MATCH("A-4",Signale!$J$2:$J$150,0)),"")</f>
        <v/>
      </c>
      <c r="C5" s="5">
        <f>IFERROR(INDEX(Signale!$A$2:$A$150,MATCH("A-4",Signale!$J$2:$J$150,0)),"")</f>
        <v/>
      </c>
      <c r="D5" s="5">
        <f>IFERROR(INDEX(Signale!$C$2:$C$150,MATCH("A-4",Signale!$J$2:$J$150,0)),"")</f>
        <v/>
      </c>
      <c r="E5" s="5">
        <f>IFERROR(INDEX(Signale!$E$2:$E$150,MATCH("A-4",Signale!$J$2:$J$150,0)),"")</f>
        <v/>
      </c>
      <c r="F5" s="5">
        <f>IFERROR(INDEX(Signale!$F$2:$F$150,MATCH("A-4",Signale!$J$2:$J$150,0)),"")</f>
        <v/>
      </c>
      <c r="G5" s="5">
        <f>IF(COUNTIF(Signale!$J$2:$J$150,"A-4")=0,"frei",IF(COUNTIF(Signale!$J$2:$J$150,"A-4")&gt;1,"DOPPELT","belegt"))</f>
        <v/>
      </c>
      <c r="H5" s="5">
        <f>IFERROR(IF(INDEX(Signale!$L$2:$L$150,MATCH("A-4",Signale!$J$2:$J$150,0))="","",INDEX(Signale!$L$2:$L$150,MATCH("A-4",Signale!$J$2:$J$150,0))),"")</f>
        <v/>
      </c>
      <c r="I5" s="5">
        <f>IFERROR(IF(INDEX(Signale!$M$2:$M$150,MATCH("A-4",Signale!$J$2:$J$150,0))="","",INDEX(Signale!$M$2:$M$150,MATCH("A-4",Signale!$J$2:$J$150,0))),"")</f>
        <v/>
      </c>
    </row>
    <row r="6">
      <c r="A6" s="5" t="n">
        <v>5</v>
      </c>
      <c r="B6" s="5">
        <f>IFERROR(INDEX(Signale!$B$2:$B$150,MATCH("A-5",Signale!$J$2:$J$150,0)),"")</f>
        <v/>
      </c>
      <c r="C6" s="5">
        <f>IFERROR(INDEX(Signale!$A$2:$A$150,MATCH("A-5",Signale!$J$2:$J$150,0)),"")</f>
        <v/>
      </c>
      <c r="D6" s="5">
        <f>IFERROR(INDEX(Signale!$C$2:$C$150,MATCH("A-5",Signale!$J$2:$J$150,0)),"")</f>
        <v/>
      </c>
      <c r="E6" s="5">
        <f>IFERROR(INDEX(Signale!$E$2:$E$150,MATCH("A-5",Signale!$J$2:$J$150,0)),"")</f>
        <v/>
      </c>
      <c r="F6" s="5">
        <f>IFERROR(INDEX(Signale!$F$2:$F$150,MATCH("A-5",Signale!$J$2:$J$150,0)),"")</f>
        <v/>
      </c>
      <c r="G6" s="5">
        <f>IF(COUNTIF(Signale!$J$2:$J$150,"A-5")=0,"frei",IF(COUNTIF(Signale!$J$2:$J$150,"A-5")&gt;1,"DOPPELT","belegt"))</f>
        <v/>
      </c>
      <c r="H6" s="5">
        <f>IFERROR(IF(INDEX(Signale!$L$2:$L$150,MATCH("A-5",Signale!$J$2:$J$150,0))="","",INDEX(Signale!$L$2:$L$150,MATCH("A-5",Signale!$J$2:$J$150,0))),"")</f>
        <v/>
      </c>
      <c r="I6" s="5">
        <f>IFERROR(IF(INDEX(Signale!$M$2:$M$150,MATCH("A-5",Signale!$J$2:$J$150,0))="","",INDEX(Signale!$M$2:$M$150,MATCH("A-5",Signale!$J$2:$J$150,0))),"")</f>
        <v/>
      </c>
    </row>
    <row r="7">
      <c r="A7" s="5" t="n">
        <v>6</v>
      </c>
      <c r="B7" s="5">
        <f>IFERROR(INDEX(Signale!$B$2:$B$150,MATCH("A-6",Signale!$J$2:$J$150,0)),"")</f>
        <v/>
      </c>
      <c r="C7" s="5">
        <f>IFERROR(INDEX(Signale!$A$2:$A$150,MATCH("A-6",Signale!$J$2:$J$150,0)),"")</f>
        <v/>
      </c>
      <c r="D7" s="5">
        <f>IFERROR(INDEX(Signale!$C$2:$C$150,MATCH("A-6",Signale!$J$2:$J$150,0)),"")</f>
        <v/>
      </c>
      <c r="E7" s="5">
        <f>IFERROR(INDEX(Signale!$E$2:$E$150,MATCH("A-6",Signale!$J$2:$J$150,0)),"")</f>
        <v/>
      </c>
      <c r="F7" s="5">
        <f>IFERROR(INDEX(Signale!$F$2:$F$150,MATCH("A-6",Signale!$J$2:$J$150,0)),"")</f>
        <v/>
      </c>
      <c r="G7" s="5">
        <f>IF(COUNTIF(Signale!$J$2:$J$150,"A-6")=0,"frei",IF(COUNTIF(Signale!$J$2:$J$150,"A-6")&gt;1,"DOPPELT","belegt"))</f>
        <v/>
      </c>
      <c r="H7" s="5">
        <f>IFERROR(IF(INDEX(Signale!$L$2:$L$150,MATCH("A-6",Signale!$J$2:$J$150,0))="","",INDEX(Signale!$L$2:$L$150,MATCH("A-6",Signale!$J$2:$J$150,0))),"")</f>
        <v/>
      </c>
      <c r="I7" s="5">
        <f>IFERROR(IF(INDEX(Signale!$M$2:$M$150,MATCH("A-6",Signale!$J$2:$J$150,0))="","",INDEX(Signale!$M$2:$M$150,MATCH("A-6",Signale!$J$2:$J$150,0))),"")</f>
        <v/>
      </c>
    </row>
    <row r="8">
      <c r="A8" s="5" t="n">
        <v>7</v>
      </c>
      <c r="B8" s="5">
        <f>IFERROR(INDEX(Signale!$B$2:$B$150,MATCH("A-7",Signale!$J$2:$J$150,0)),"")</f>
        <v/>
      </c>
      <c r="C8" s="5">
        <f>IFERROR(INDEX(Signale!$A$2:$A$150,MATCH("A-7",Signale!$J$2:$J$150,0)),"")</f>
        <v/>
      </c>
      <c r="D8" s="5">
        <f>IFERROR(INDEX(Signale!$C$2:$C$150,MATCH("A-7",Signale!$J$2:$J$150,0)),"")</f>
        <v/>
      </c>
      <c r="E8" s="5">
        <f>IFERROR(INDEX(Signale!$E$2:$E$150,MATCH("A-7",Signale!$J$2:$J$150,0)),"")</f>
        <v/>
      </c>
      <c r="F8" s="5">
        <f>IFERROR(INDEX(Signale!$F$2:$F$150,MATCH("A-7",Signale!$J$2:$J$150,0)),"")</f>
        <v/>
      </c>
      <c r="G8" s="5">
        <f>IF(COUNTIF(Signale!$J$2:$J$150,"A-7")=0,"frei",IF(COUNTIF(Signale!$J$2:$J$150,"A-7")&gt;1,"DOPPELT","belegt"))</f>
        <v/>
      </c>
      <c r="H8" s="5">
        <f>IFERROR(IF(INDEX(Signale!$L$2:$L$150,MATCH("A-7",Signale!$J$2:$J$150,0))="","",INDEX(Signale!$L$2:$L$150,MATCH("A-7",Signale!$J$2:$J$150,0))),"")</f>
        <v/>
      </c>
      <c r="I8" s="5">
        <f>IFERROR(IF(INDEX(Signale!$M$2:$M$150,MATCH("A-7",Signale!$J$2:$J$150,0))="","",INDEX(Signale!$M$2:$M$150,MATCH("A-7",Signale!$J$2:$J$150,0))),"")</f>
        <v/>
      </c>
    </row>
    <row r="9">
      <c r="A9" s="5" t="n">
        <v>8</v>
      </c>
      <c r="B9" s="5">
        <f>IFERROR(INDEX(Signale!$B$2:$B$150,MATCH("A-8",Signale!$J$2:$J$150,0)),"")</f>
        <v/>
      </c>
      <c r="C9" s="5">
        <f>IFERROR(INDEX(Signale!$A$2:$A$150,MATCH("A-8",Signale!$J$2:$J$150,0)),"")</f>
        <v/>
      </c>
      <c r="D9" s="5">
        <f>IFERROR(INDEX(Signale!$C$2:$C$150,MATCH("A-8",Signale!$J$2:$J$150,0)),"")</f>
        <v/>
      </c>
      <c r="E9" s="5">
        <f>IFERROR(INDEX(Signale!$E$2:$E$150,MATCH("A-8",Signale!$J$2:$J$150,0)),"")</f>
        <v/>
      </c>
      <c r="F9" s="5">
        <f>IFERROR(INDEX(Signale!$F$2:$F$150,MATCH("A-8",Signale!$J$2:$J$150,0)),"")</f>
        <v/>
      </c>
      <c r="G9" s="5">
        <f>IF(COUNTIF(Signale!$J$2:$J$150,"A-8")=0,"frei",IF(COUNTIF(Signale!$J$2:$J$150,"A-8")&gt;1,"DOPPELT","belegt"))</f>
        <v/>
      </c>
      <c r="H9" s="5">
        <f>IFERROR(IF(INDEX(Signale!$L$2:$L$150,MATCH("A-8",Signale!$J$2:$J$150,0))="","",INDEX(Signale!$L$2:$L$150,MATCH("A-8",Signale!$J$2:$J$150,0))),"")</f>
        <v/>
      </c>
      <c r="I9" s="5">
        <f>IFERROR(IF(INDEX(Signale!$M$2:$M$150,MATCH("A-8",Signale!$J$2:$J$150,0))="","",INDEX(Signale!$M$2:$M$150,MATCH("A-8",Signale!$J$2:$J$150,0))),"")</f>
        <v/>
      </c>
    </row>
    <row r="10">
      <c r="A10" s="5" t="n">
        <v>9</v>
      </c>
      <c r="B10" s="5">
        <f>IFERROR(INDEX(Signale!$B$2:$B$150,MATCH("A-9",Signale!$J$2:$J$150,0)),"")</f>
        <v/>
      </c>
      <c r="C10" s="5">
        <f>IFERROR(INDEX(Signale!$A$2:$A$150,MATCH("A-9",Signale!$J$2:$J$150,0)),"")</f>
        <v/>
      </c>
      <c r="D10" s="5">
        <f>IFERROR(INDEX(Signale!$C$2:$C$150,MATCH("A-9",Signale!$J$2:$J$150,0)),"")</f>
        <v/>
      </c>
      <c r="E10" s="5">
        <f>IFERROR(INDEX(Signale!$E$2:$E$150,MATCH("A-9",Signale!$J$2:$J$150,0)),"")</f>
        <v/>
      </c>
      <c r="F10" s="5">
        <f>IFERROR(INDEX(Signale!$F$2:$F$150,MATCH("A-9",Signale!$J$2:$J$150,0)),"")</f>
        <v/>
      </c>
      <c r="G10" s="5">
        <f>IF(COUNTIF(Signale!$J$2:$J$150,"A-9")=0,"frei",IF(COUNTIF(Signale!$J$2:$J$150,"A-9")&gt;1,"DOPPELT","belegt"))</f>
        <v/>
      </c>
      <c r="H10" s="5">
        <f>IFERROR(IF(INDEX(Signale!$L$2:$L$150,MATCH("A-9",Signale!$J$2:$J$150,0))="","",INDEX(Signale!$L$2:$L$150,MATCH("A-9",Signale!$J$2:$J$150,0))),"")</f>
        <v/>
      </c>
      <c r="I10" s="5">
        <f>IFERROR(IF(INDEX(Signale!$M$2:$M$150,MATCH("A-9",Signale!$J$2:$J$150,0))="","",INDEX(Signale!$M$2:$M$150,MATCH("A-9",Signale!$J$2:$J$150,0))),"")</f>
        <v/>
      </c>
    </row>
    <row r="11">
      <c r="A11" s="5" t="n">
        <v>10</v>
      </c>
      <c r="B11" s="5">
        <f>IFERROR(INDEX(Signale!$B$2:$B$150,MATCH("A-10",Signale!$J$2:$J$150,0)),"")</f>
        <v/>
      </c>
      <c r="C11" s="5">
        <f>IFERROR(INDEX(Signale!$A$2:$A$150,MATCH("A-10",Signale!$J$2:$J$150,0)),"")</f>
        <v/>
      </c>
      <c r="D11" s="5">
        <f>IFERROR(INDEX(Signale!$C$2:$C$150,MATCH("A-10",Signale!$J$2:$J$150,0)),"")</f>
        <v/>
      </c>
      <c r="E11" s="5">
        <f>IFERROR(INDEX(Signale!$E$2:$E$150,MATCH("A-10",Signale!$J$2:$J$150,0)),"")</f>
        <v/>
      </c>
      <c r="F11" s="5">
        <f>IFERROR(INDEX(Signale!$F$2:$F$150,MATCH("A-10",Signale!$J$2:$J$150,0)),"")</f>
        <v/>
      </c>
      <c r="G11" s="5">
        <f>IF(COUNTIF(Signale!$J$2:$J$150,"A-10")=0,"frei",IF(COUNTIF(Signale!$J$2:$J$150,"A-10")&gt;1,"DOPPELT","belegt"))</f>
        <v/>
      </c>
      <c r="H11" s="5">
        <f>IFERROR(IF(INDEX(Signale!$L$2:$L$150,MATCH("A-10",Signale!$J$2:$J$150,0))="","",INDEX(Signale!$L$2:$L$150,MATCH("A-10",Signale!$J$2:$J$150,0))),"")</f>
        <v/>
      </c>
      <c r="I11" s="5">
        <f>IFERROR(IF(INDEX(Signale!$M$2:$M$150,MATCH("A-10",Signale!$J$2:$J$150,0))="","",INDEX(Signale!$M$2:$M$150,MATCH("A-10",Signale!$J$2:$J$150,0))),"")</f>
        <v/>
      </c>
    </row>
    <row r="12">
      <c r="A12" s="5" t="n">
        <v>11</v>
      </c>
      <c r="B12" s="5">
        <f>IFERROR(INDEX(Signale!$B$2:$B$150,MATCH("A-11",Signale!$J$2:$J$150,0)),"")</f>
        <v/>
      </c>
      <c r="C12" s="5">
        <f>IFERROR(INDEX(Signale!$A$2:$A$150,MATCH("A-11",Signale!$J$2:$J$150,0)),"")</f>
        <v/>
      </c>
      <c r="D12" s="5">
        <f>IFERROR(INDEX(Signale!$C$2:$C$150,MATCH("A-11",Signale!$J$2:$J$150,0)),"")</f>
        <v/>
      </c>
      <c r="E12" s="5">
        <f>IFERROR(INDEX(Signale!$E$2:$E$150,MATCH("A-11",Signale!$J$2:$J$150,0)),"")</f>
        <v/>
      </c>
      <c r="F12" s="5">
        <f>IFERROR(INDEX(Signale!$F$2:$F$150,MATCH("A-11",Signale!$J$2:$J$150,0)),"")</f>
        <v/>
      </c>
      <c r="G12" s="5">
        <f>IF(COUNTIF(Signale!$J$2:$J$150,"A-11")=0,"frei",IF(COUNTIF(Signale!$J$2:$J$150,"A-11")&gt;1,"DOPPELT","belegt"))</f>
        <v/>
      </c>
      <c r="H12" s="5">
        <f>IFERROR(IF(INDEX(Signale!$L$2:$L$150,MATCH("A-11",Signale!$J$2:$J$150,0))="","",INDEX(Signale!$L$2:$L$150,MATCH("A-11",Signale!$J$2:$J$150,0))),"")</f>
        <v/>
      </c>
      <c r="I12" s="5">
        <f>IFERROR(IF(INDEX(Signale!$M$2:$M$150,MATCH("A-11",Signale!$J$2:$J$150,0))="","",INDEX(Signale!$M$2:$M$150,MATCH("A-11",Signale!$J$2:$J$150,0))),"")</f>
        <v/>
      </c>
    </row>
    <row r="13">
      <c r="A13" s="5" t="n">
        <v>12</v>
      </c>
      <c r="B13" s="5">
        <f>IFERROR(INDEX(Signale!$B$2:$B$150,MATCH("A-12",Signale!$J$2:$J$150,0)),"")</f>
        <v/>
      </c>
      <c r="C13" s="5">
        <f>IFERROR(INDEX(Signale!$A$2:$A$150,MATCH("A-12",Signale!$J$2:$J$150,0)),"")</f>
        <v/>
      </c>
      <c r="D13" s="5">
        <f>IFERROR(INDEX(Signale!$C$2:$C$150,MATCH("A-12",Signale!$J$2:$J$150,0)),"")</f>
        <v/>
      </c>
      <c r="E13" s="5">
        <f>IFERROR(INDEX(Signale!$E$2:$E$150,MATCH("A-12",Signale!$J$2:$J$150,0)),"")</f>
        <v/>
      </c>
      <c r="F13" s="5">
        <f>IFERROR(INDEX(Signale!$F$2:$F$150,MATCH("A-12",Signale!$J$2:$J$150,0)),"")</f>
        <v/>
      </c>
      <c r="G13" s="5">
        <f>IF(COUNTIF(Signale!$J$2:$J$150,"A-12")=0,"frei",IF(COUNTIF(Signale!$J$2:$J$150,"A-12")&gt;1,"DOPPELT","belegt"))</f>
        <v/>
      </c>
      <c r="H13" s="5">
        <f>IFERROR(IF(INDEX(Signale!$L$2:$L$150,MATCH("A-12",Signale!$J$2:$J$150,0))="","",INDEX(Signale!$L$2:$L$150,MATCH("A-12",Signale!$J$2:$J$150,0))),"")</f>
        <v/>
      </c>
      <c r="I13" s="5">
        <f>IFERROR(IF(INDEX(Signale!$M$2:$M$150,MATCH("A-12",Signale!$J$2:$J$150,0))="","",INDEX(Signale!$M$2:$M$150,MATCH("A-12",Signale!$J$2:$J$150,0))),"")</f>
        <v/>
      </c>
    </row>
    <row r="14">
      <c r="A14" s="5" t="n">
        <v>13</v>
      </c>
      <c r="B14" s="5">
        <f>IFERROR(INDEX(Signale!$B$2:$B$150,MATCH("A-13",Signale!$J$2:$J$150,0)),"")</f>
        <v/>
      </c>
      <c r="C14" s="5">
        <f>IFERROR(INDEX(Signale!$A$2:$A$150,MATCH("A-13",Signale!$J$2:$J$150,0)),"")</f>
        <v/>
      </c>
      <c r="D14" s="5">
        <f>IFERROR(INDEX(Signale!$C$2:$C$150,MATCH("A-13",Signale!$J$2:$J$150,0)),"")</f>
        <v/>
      </c>
      <c r="E14" s="5">
        <f>IFERROR(INDEX(Signale!$E$2:$E$150,MATCH("A-13",Signale!$J$2:$J$150,0)),"")</f>
        <v/>
      </c>
      <c r="F14" s="5">
        <f>IFERROR(INDEX(Signale!$F$2:$F$150,MATCH("A-13",Signale!$J$2:$J$150,0)),"")</f>
        <v/>
      </c>
      <c r="G14" s="5">
        <f>IF(COUNTIF(Signale!$J$2:$J$150,"A-13")=0,"frei",IF(COUNTIF(Signale!$J$2:$J$150,"A-13")&gt;1,"DOPPELT","belegt"))</f>
        <v/>
      </c>
      <c r="H14" s="5">
        <f>IFERROR(IF(INDEX(Signale!$L$2:$L$150,MATCH("A-13",Signale!$J$2:$J$150,0))="","",INDEX(Signale!$L$2:$L$150,MATCH("A-13",Signale!$J$2:$J$150,0))),"")</f>
        <v/>
      </c>
      <c r="I14" s="5">
        <f>IFERROR(IF(INDEX(Signale!$M$2:$M$150,MATCH("A-13",Signale!$J$2:$J$150,0))="","",INDEX(Signale!$M$2:$M$150,MATCH("A-13",Signale!$J$2:$J$150,0))),"")</f>
        <v/>
      </c>
    </row>
    <row r="15">
      <c r="A15" s="5" t="n">
        <v>14</v>
      </c>
      <c r="B15" s="5">
        <f>IFERROR(INDEX(Signale!$B$2:$B$150,MATCH("A-14",Signale!$J$2:$J$150,0)),"")</f>
        <v/>
      </c>
      <c r="C15" s="5">
        <f>IFERROR(INDEX(Signale!$A$2:$A$150,MATCH("A-14",Signale!$J$2:$J$150,0)),"")</f>
        <v/>
      </c>
      <c r="D15" s="5">
        <f>IFERROR(INDEX(Signale!$C$2:$C$150,MATCH("A-14",Signale!$J$2:$J$150,0)),"")</f>
        <v/>
      </c>
      <c r="E15" s="5">
        <f>IFERROR(INDEX(Signale!$E$2:$E$150,MATCH("A-14",Signale!$J$2:$J$150,0)),"")</f>
        <v/>
      </c>
      <c r="F15" s="5">
        <f>IFERROR(INDEX(Signale!$F$2:$F$150,MATCH("A-14",Signale!$J$2:$J$150,0)),"")</f>
        <v/>
      </c>
      <c r="G15" s="5">
        <f>IF(COUNTIF(Signale!$J$2:$J$150,"A-14")=0,"frei",IF(COUNTIF(Signale!$J$2:$J$150,"A-14")&gt;1,"DOPPELT","belegt"))</f>
        <v/>
      </c>
      <c r="H15" s="5">
        <f>IFERROR(IF(INDEX(Signale!$L$2:$L$150,MATCH("A-14",Signale!$J$2:$J$150,0))="","",INDEX(Signale!$L$2:$L$150,MATCH("A-14",Signale!$J$2:$J$150,0))),"")</f>
        <v/>
      </c>
      <c r="I15" s="5">
        <f>IFERROR(IF(INDEX(Signale!$M$2:$M$150,MATCH("A-14",Signale!$J$2:$J$150,0))="","",INDEX(Signale!$M$2:$M$150,MATCH("A-14",Signale!$J$2:$J$150,0))),"")</f>
        <v/>
      </c>
    </row>
    <row r="16">
      <c r="A16" s="5" t="n">
        <v>15</v>
      </c>
      <c r="B16" s="5">
        <f>IFERROR(INDEX(Signale!$B$2:$B$150,MATCH("A-15",Signale!$J$2:$J$150,0)),"")</f>
        <v/>
      </c>
      <c r="C16" s="5">
        <f>IFERROR(INDEX(Signale!$A$2:$A$150,MATCH("A-15",Signale!$J$2:$J$150,0)),"")</f>
        <v/>
      </c>
      <c r="D16" s="5">
        <f>IFERROR(INDEX(Signale!$C$2:$C$150,MATCH("A-15",Signale!$J$2:$J$150,0)),"")</f>
        <v/>
      </c>
      <c r="E16" s="5">
        <f>IFERROR(INDEX(Signale!$E$2:$E$150,MATCH("A-15",Signale!$J$2:$J$150,0)),"")</f>
        <v/>
      </c>
      <c r="F16" s="5">
        <f>IFERROR(INDEX(Signale!$F$2:$F$150,MATCH("A-15",Signale!$J$2:$J$150,0)),"")</f>
        <v/>
      </c>
      <c r="G16" s="5">
        <f>IF(COUNTIF(Signale!$J$2:$J$150,"A-15")=0,"frei",IF(COUNTIF(Signale!$J$2:$J$150,"A-15")&gt;1,"DOPPELT","belegt"))</f>
        <v/>
      </c>
      <c r="H16" s="5">
        <f>IFERROR(IF(INDEX(Signale!$L$2:$L$150,MATCH("A-15",Signale!$J$2:$J$150,0))="","",INDEX(Signale!$L$2:$L$150,MATCH("A-15",Signale!$J$2:$J$150,0))),"")</f>
        <v/>
      </c>
      <c r="I16" s="5">
        <f>IFERROR(IF(INDEX(Signale!$M$2:$M$150,MATCH("A-15",Signale!$J$2:$J$150,0))="","",INDEX(Signale!$M$2:$M$150,MATCH("A-15",Signale!$J$2:$J$150,0))),"")</f>
        <v/>
      </c>
    </row>
    <row r="17">
      <c r="A17" s="5" t="n">
        <v>16</v>
      </c>
      <c r="B17" s="5">
        <f>IFERROR(INDEX(Signale!$B$2:$B$150,MATCH("A-16",Signale!$J$2:$J$150,0)),"")</f>
        <v/>
      </c>
      <c r="C17" s="5">
        <f>IFERROR(INDEX(Signale!$A$2:$A$150,MATCH("A-16",Signale!$J$2:$J$150,0)),"")</f>
        <v/>
      </c>
      <c r="D17" s="5">
        <f>IFERROR(INDEX(Signale!$C$2:$C$150,MATCH("A-16",Signale!$J$2:$J$150,0)),"")</f>
        <v/>
      </c>
      <c r="E17" s="5">
        <f>IFERROR(INDEX(Signale!$E$2:$E$150,MATCH("A-16",Signale!$J$2:$J$150,0)),"")</f>
        <v/>
      </c>
      <c r="F17" s="5">
        <f>IFERROR(INDEX(Signale!$F$2:$F$150,MATCH("A-16",Signale!$J$2:$J$150,0)),"")</f>
        <v/>
      </c>
      <c r="G17" s="5">
        <f>IF(COUNTIF(Signale!$J$2:$J$150,"A-16")=0,"frei",IF(COUNTIF(Signale!$J$2:$J$150,"A-16")&gt;1,"DOPPELT","belegt"))</f>
        <v/>
      </c>
      <c r="H17" s="5">
        <f>IFERROR(IF(INDEX(Signale!$L$2:$L$150,MATCH("A-16",Signale!$J$2:$J$150,0))="","",INDEX(Signale!$L$2:$L$150,MATCH("A-16",Signale!$J$2:$J$150,0))),"")</f>
        <v/>
      </c>
      <c r="I17" s="5">
        <f>IFERROR(IF(INDEX(Signale!$M$2:$M$150,MATCH("A-16",Signale!$J$2:$J$150,0))="","",INDEX(Signale!$M$2:$M$150,MATCH("A-16",Signale!$J$2:$J$150,0))),"")</f>
        <v/>
      </c>
    </row>
    <row r="18">
      <c r="A18" s="5" t="n">
        <v>17</v>
      </c>
      <c r="B18" s="5">
        <f>IFERROR(INDEX(Signale!$B$2:$B$150,MATCH("A-17",Signale!$J$2:$J$150,0)),"")</f>
        <v/>
      </c>
      <c r="C18" s="5">
        <f>IFERROR(INDEX(Signale!$A$2:$A$150,MATCH("A-17",Signale!$J$2:$J$150,0)),"")</f>
        <v/>
      </c>
      <c r="D18" s="5">
        <f>IFERROR(INDEX(Signale!$C$2:$C$150,MATCH("A-17",Signale!$J$2:$J$150,0)),"")</f>
        <v/>
      </c>
      <c r="E18" s="5">
        <f>IFERROR(INDEX(Signale!$E$2:$E$150,MATCH("A-17",Signale!$J$2:$J$150,0)),"")</f>
        <v/>
      </c>
      <c r="F18" s="5">
        <f>IFERROR(INDEX(Signale!$F$2:$F$150,MATCH("A-17",Signale!$J$2:$J$150,0)),"")</f>
        <v/>
      </c>
      <c r="G18" s="5">
        <f>IF(COUNTIF(Signale!$J$2:$J$150,"A-17")=0,"frei",IF(COUNTIF(Signale!$J$2:$J$150,"A-17")&gt;1,"DOPPELT","belegt"))</f>
        <v/>
      </c>
      <c r="H18" s="5">
        <f>IFERROR(IF(INDEX(Signale!$L$2:$L$150,MATCH("A-17",Signale!$J$2:$J$150,0))="","",INDEX(Signale!$L$2:$L$150,MATCH("A-17",Signale!$J$2:$J$150,0))),"")</f>
        <v/>
      </c>
      <c r="I18" s="5">
        <f>IFERROR(IF(INDEX(Signale!$M$2:$M$150,MATCH("A-17",Signale!$J$2:$J$150,0))="","",INDEX(Signale!$M$2:$M$150,MATCH("A-17",Signale!$J$2:$J$150,0))),"")</f>
        <v/>
      </c>
    </row>
    <row r="19">
      <c r="A19" s="5" t="n">
        <v>18</v>
      </c>
      <c r="B19" s="5">
        <f>IFERROR(INDEX(Signale!$B$2:$B$150,MATCH("A-18",Signale!$J$2:$J$150,0)),"")</f>
        <v/>
      </c>
      <c r="C19" s="5">
        <f>IFERROR(INDEX(Signale!$A$2:$A$150,MATCH("A-18",Signale!$J$2:$J$150,0)),"")</f>
        <v/>
      </c>
      <c r="D19" s="5">
        <f>IFERROR(INDEX(Signale!$C$2:$C$150,MATCH("A-18",Signale!$J$2:$J$150,0)),"")</f>
        <v/>
      </c>
      <c r="E19" s="5">
        <f>IFERROR(INDEX(Signale!$E$2:$E$150,MATCH("A-18",Signale!$J$2:$J$150,0)),"")</f>
        <v/>
      </c>
      <c r="F19" s="5">
        <f>IFERROR(INDEX(Signale!$F$2:$F$150,MATCH("A-18",Signale!$J$2:$J$150,0)),"")</f>
        <v/>
      </c>
      <c r="G19" s="5">
        <f>IF(COUNTIF(Signale!$J$2:$J$150,"A-18")=0,"frei",IF(COUNTIF(Signale!$J$2:$J$150,"A-18")&gt;1,"DOPPELT","belegt"))</f>
        <v/>
      </c>
      <c r="H19" s="5">
        <f>IFERROR(IF(INDEX(Signale!$L$2:$L$150,MATCH("A-18",Signale!$J$2:$J$150,0))="","",INDEX(Signale!$L$2:$L$150,MATCH("A-18",Signale!$J$2:$J$150,0))),"")</f>
        <v/>
      </c>
      <c r="I19" s="5">
        <f>IFERROR(IF(INDEX(Signale!$M$2:$M$150,MATCH("A-18",Signale!$J$2:$J$150,0))="","",INDEX(Signale!$M$2:$M$150,MATCH("A-18",Signale!$J$2:$J$150,0))),"")</f>
        <v/>
      </c>
    </row>
    <row r="20">
      <c r="A20" s="5" t="n">
        <v>19</v>
      </c>
      <c r="B20" s="5">
        <f>IFERROR(INDEX(Signale!$B$2:$B$150,MATCH("A-19",Signale!$J$2:$J$150,0)),"")</f>
        <v/>
      </c>
      <c r="C20" s="5">
        <f>IFERROR(INDEX(Signale!$A$2:$A$150,MATCH("A-19",Signale!$J$2:$J$150,0)),"")</f>
        <v/>
      </c>
      <c r="D20" s="5">
        <f>IFERROR(INDEX(Signale!$C$2:$C$150,MATCH("A-19",Signale!$J$2:$J$150,0)),"")</f>
        <v/>
      </c>
      <c r="E20" s="5">
        <f>IFERROR(INDEX(Signale!$E$2:$E$150,MATCH("A-19",Signale!$J$2:$J$150,0)),"")</f>
        <v/>
      </c>
      <c r="F20" s="5">
        <f>IFERROR(INDEX(Signale!$F$2:$F$150,MATCH("A-19",Signale!$J$2:$J$150,0)),"")</f>
        <v/>
      </c>
      <c r="G20" s="5">
        <f>IF(COUNTIF(Signale!$J$2:$J$150,"A-19")=0,"frei",IF(COUNTIF(Signale!$J$2:$J$150,"A-19")&gt;1,"DOPPELT","belegt"))</f>
        <v/>
      </c>
      <c r="H20" s="5">
        <f>IFERROR(IF(INDEX(Signale!$L$2:$L$150,MATCH("A-19",Signale!$J$2:$J$150,0))="","",INDEX(Signale!$L$2:$L$150,MATCH("A-19",Signale!$J$2:$J$150,0))),"")</f>
        <v/>
      </c>
      <c r="I20" s="5">
        <f>IFERROR(IF(INDEX(Signale!$M$2:$M$150,MATCH("A-19",Signale!$J$2:$J$150,0))="","",INDEX(Signale!$M$2:$M$150,MATCH("A-19",Signale!$J$2:$J$150,0))),"")</f>
        <v/>
      </c>
    </row>
    <row r="21">
      <c r="A21" s="5" t="n">
        <v>20</v>
      </c>
      <c r="B21" s="5">
        <f>IFERROR(INDEX(Signale!$B$2:$B$150,MATCH("A-20",Signale!$J$2:$J$150,0)),"")</f>
        <v/>
      </c>
      <c r="C21" s="5">
        <f>IFERROR(INDEX(Signale!$A$2:$A$150,MATCH("A-20",Signale!$J$2:$J$150,0)),"")</f>
        <v/>
      </c>
      <c r="D21" s="5">
        <f>IFERROR(INDEX(Signale!$C$2:$C$150,MATCH("A-20",Signale!$J$2:$J$150,0)),"")</f>
        <v/>
      </c>
      <c r="E21" s="5">
        <f>IFERROR(INDEX(Signale!$E$2:$E$150,MATCH("A-20",Signale!$J$2:$J$150,0)),"")</f>
        <v/>
      </c>
      <c r="F21" s="5">
        <f>IFERROR(INDEX(Signale!$F$2:$F$150,MATCH("A-20",Signale!$J$2:$J$150,0)),"")</f>
        <v/>
      </c>
      <c r="G21" s="5">
        <f>IF(COUNTIF(Signale!$J$2:$J$150,"A-20")=0,"frei",IF(COUNTIF(Signale!$J$2:$J$150,"A-20")&gt;1,"DOPPELT","belegt"))</f>
        <v/>
      </c>
      <c r="H21" s="5">
        <f>IFERROR(IF(INDEX(Signale!$L$2:$L$150,MATCH("A-20",Signale!$J$2:$J$150,0))="","",INDEX(Signale!$L$2:$L$150,MATCH("A-20",Signale!$J$2:$J$150,0))),"")</f>
        <v/>
      </c>
      <c r="I21" s="5">
        <f>IFERROR(IF(INDEX(Signale!$M$2:$M$150,MATCH("A-20",Signale!$J$2:$J$150,0))="","",INDEX(Signale!$M$2:$M$150,MATCH("A-20",Signale!$J$2:$J$150,0))),"")</f>
        <v/>
      </c>
    </row>
    <row r="22">
      <c r="A22" s="5" t="n">
        <v>21</v>
      </c>
      <c r="B22" s="5">
        <f>IFERROR(INDEX(Signale!$B$2:$B$150,MATCH("A-21",Signale!$J$2:$J$150,0)),"")</f>
        <v/>
      </c>
      <c r="C22" s="5">
        <f>IFERROR(INDEX(Signale!$A$2:$A$150,MATCH("A-21",Signale!$J$2:$J$150,0)),"")</f>
        <v/>
      </c>
      <c r="D22" s="5">
        <f>IFERROR(INDEX(Signale!$C$2:$C$150,MATCH("A-21",Signale!$J$2:$J$150,0)),"")</f>
        <v/>
      </c>
      <c r="E22" s="5">
        <f>IFERROR(INDEX(Signale!$E$2:$E$150,MATCH("A-21",Signale!$J$2:$J$150,0)),"")</f>
        <v/>
      </c>
      <c r="F22" s="5">
        <f>IFERROR(INDEX(Signale!$F$2:$F$150,MATCH("A-21",Signale!$J$2:$J$150,0)),"")</f>
        <v/>
      </c>
      <c r="G22" s="5">
        <f>IF(COUNTIF(Signale!$J$2:$J$150,"A-21")=0,"frei",IF(COUNTIF(Signale!$J$2:$J$150,"A-21")&gt;1,"DOPPELT","belegt"))</f>
        <v/>
      </c>
      <c r="H22" s="5">
        <f>IFERROR(IF(INDEX(Signale!$L$2:$L$150,MATCH("A-21",Signale!$J$2:$J$150,0))="","",INDEX(Signale!$L$2:$L$150,MATCH("A-21",Signale!$J$2:$J$150,0))),"")</f>
        <v/>
      </c>
      <c r="I22" s="5">
        <f>IFERROR(IF(INDEX(Signale!$M$2:$M$150,MATCH("A-21",Signale!$J$2:$J$150,0))="","",INDEX(Signale!$M$2:$M$150,MATCH("A-21",Signale!$J$2:$J$150,0))),"")</f>
        <v/>
      </c>
    </row>
    <row r="23">
      <c r="A23" s="5" t="n">
        <v>22</v>
      </c>
      <c r="B23" s="5">
        <f>IFERROR(INDEX(Signale!$B$2:$B$150,MATCH("A-22",Signale!$J$2:$J$150,0)),"")</f>
        <v/>
      </c>
      <c r="C23" s="5">
        <f>IFERROR(INDEX(Signale!$A$2:$A$150,MATCH("A-22",Signale!$J$2:$J$150,0)),"")</f>
        <v/>
      </c>
      <c r="D23" s="5">
        <f>IFERROR(INDEX(Signale!$C$2:$C$150,MATCH("A-22",Signale!$J$2:$J$150,0)),"")</f>
        <v/>
      </c>
      <c r="E23" s="5">
        <f>IFERROR(INDEX(Signale!$E$2:$E$150,MATCH("A-22",Signale!$J$2:$J$150,0)),"")</f>
        <v/>
      </c>
      <c r="F23" s="5">
        <f>IFERROR(INDEX(Signale!$F$2:$F$150,MATCH("A-22",Signale!$J$2:$J$150,0)),"")</f>
        <v/>
      </c>
      <c r="G23" s="5">
        <f>IF(COUNTIF(Signale!$J$2:$J$150,"A-22")=0,"frei",IF(COUNTIF(Signale!$J$2:$J$150,"A-22")&gt;1,"DOPPELT","belegt"))</f>
        <v/>
      </c>
      <c r="H23" s="5">
        <f>IFERROR(IF(INDEX(Signale!$L$2:$L$150,MATCH("A-22",Signale!$J$2:$J$150,0))="","",INDEX(Signale!$L$2:$L$150,MATCH("A-22",Signale!$J$2:$J$150,0))),"")</f>
        <v/>
      </c>
      <c r="I23" s="5">
        <f>IFERROR(IF(INDEX(Signale!$M$2:$M$150,MATCH("A-22",Signale!$J$2:$J$150,0))="","",INDEX(Signale!$M$2:$M$150,MATCH("A-22",Signale!$J$2:$J$150,0))),"")</f>
        <v/>
      </c>
    </row>
    <row r="24">
      <c r="A24" s="5" t="n">
        <v>23</v>
      </c>
      <c r="B24" s="5">
        <f>IFERROR(INDEX(Signale!$B$2:$B$150,MATCH("A-23",Signale!$J$2:$J$150,0)),"")</f>
        <v/>
      </c>
      <c r="C24" s="5">
        <f>IFERROR(INDEX(Signale!$A$2:$A$150,MATCH("A-23",Signale!$J$2:$J$150,0)),"")</f>
        <v/>
      </c>
      <c r="D24" s="5">
        <f>IFERROR(INDEX(Signale!$C$2:$C$150,MATCH("A-23",Signale!$J$2:$J$150,0)),"")</f>
        <v/>
      </c>
      <c r="E24" s="5">
        <f>IFERROR(INDEX(Signale!$E$2:$E$150,MATCH("A-23",Signale!$J$2:$J$150,0)),"")</f>
        <v/>
      </c>
      <c r="F24" s="5">
        <f>IFERROR(INDEX(Signale!$F$2:$F$150,MATCH("A-23",Signale!$J$2:$J$150,0)),"")</f>
        <v/>
      </c>
      <c r="G24" s="5">
        <f>IF(COUNTIF(Signale!$J$2:$J$150,"A-23")=0,"frei",IF(COUNTIF(Signale!$J$2:$J$150,"A-23")&gt;1,"DOPPELT","belegt"))</f>
        <v/>
      </c>
      <c r="H24" s="5">
        <f>IFERROR(IF(INDEX(Signale!$L$2:$L$150,MATCH("A-23",Signale!$J$2:$J$150,0))="","",INDEX(Signale!$L$2:$L$150,MATCH("A-23",Signale!$J$2:$J$150,0))),"")</f>
        <v/>
      </c>
      <c r="I24" s="5">
        <f>IFERROR(IF(INDEX(Signale!$M$2:$M$150,MATCH("A-23",Signale!$J$2:$J$150,0))="","",INDEX(Signale!$M$2:$M$150,MATCH("A-23",Signale!$J$2:$J$150,0))),"")</f>
        <v/>
      </c>
    </row>
    <row r="25">
      <c r="A25" s="5" t="n">
        <v>24</v>
      </c>
      <c r="B25" s="5">
        <f>IFERROR(INDEX(Signale!$B$2:$B$150,MATCH("A-24",Signale!$J$2:$J$150,0)),"")</f>
        <v/>
      </c>
      <c r="C25" s="5">
        <f>IFERROR(INDEX(Signale!$A$2:$A$150,MATCH("A-24",Signale!$J$2:$J$150,0)),"")</f>
        <v/>
      </c>
      <c r="D25" s="5">
        <f>IFERROR(INDEX(Signale!$C$2:$C$150,MATCH("A-24",Signale!$J$2:$J$150,0)),"")</f>
        <v/>
      </c>
      <c r="E25" s="5">
        <f>IFERROR(INDEX(Signale!$E$2:$E$150,MATCH("A-24",Signale!$J$2:$J$150,0)),"")</f>
        <v/>
      </c>
      <c r="F25" s="5">
        <f>IFERROR(INDEX(Signale!$F$2:$F$150,MATCH("A-24",Signale!$J$2:$J$150,0)),"")</f>
        <v/>
      </c>
      <c r="G25" s="5">
        <f>IF(COUNTIF(Signale!$J$2:$J$150,"A-24")=0,"frei",IF(COUNTIF(Signale!$J$2:$J$150,"A-24")&gt;1,"DOPPELT","belegt"))</f>
        <v/>
      </c>
      <c r="H25" s="5">
        <f>IFERROR(IF(INDEX(Signale!$L$2:$L$150,MATCH("A-24",Signale!$J$2:$J$150,0))="","",INDEX(Signale!$L$2:$L$150,MATCH("A-24",Signale!$J$2:$J$150,0))),"")</f>
        <v/>
      </c>
      <c r="I25" s="5">
        <f>IFERROR(IF(INDEX(Signale!$M$2:$M$150,MATCH("A-24",Signale!$J$2:$J$150,0))="","",INDEX(Signale!$M$2:$M$150,MATCH("A-24",Signale!$J$2:$J$150,0))),"")</f>
        <v/>
      </c>
    </row>
    <row r="26">
      <c r="A26" s="5" t="n">
        <v>25</v>
      </c>
      <c r="B26" s="5">
        <f>IFERROR(INDEX(Signale!$B$2:$B$150,MATCH("A-25",Signale!$J$2:$J$150,0)),"")</f>
        <v/>
      </c>
      <c r="C26" s="5">
        <f>IFERROR(INDEX(Signale!$A$2:$A$150,MATCH("A-25",Signale!$J$2:$J$150,0)),"")</f>
        <v/>
      </c>
      <c r="D26" s="5">
        <f>IFERROR(INDEX(Signale!$C$2:$C$150,MATCH("A-25",Signale!$J$2:$J$150,0)),"")</f>
        <v/>
      </c>
      <c r="E26" s="5">
        <f>IFERROR(INDEX(Signale!$E$2:$E$150,MATCH("A-25",Signale!$J$2:$J$150,0)),"")</f>
        <v/>
      </c>
      <c r="F26" s="5">
        <f>IFERROR(INDEX(Signale!$F$2:$F$150,MATCH("A-25",Signale!$J$2:$J$150,0)),"")</f>
        <v/>
      </c>
      <c r="G26" s="5">
        <f>IF(COUNTIF(Signale!$J$2:$J$150,"A-25")=0,"frei",IF(COUNTIF(Signale!$J$2:$J$150,"A-25")&gt;1,"DOPPELT","belegt"))</f>
        <v/>
      </c>
      <c r="H26" s="5">
        <f>IFERROR(IF(INDEX(Signale!$L$2:$L$150,MATCH("A-25",Signale!$J$2:$J$150,0))="","",INDEX(Signale!$L$2:$L$150,MATCH("A-25",Signale!$J$2:$J$150,0))),"")</f>
        <v/>
      </c>
      <c r="I26" s="5">
        <f>IFERROR(IF(INDEX(Signale!$M$2:$M$150,MATCH("A-25",Signale!$J$2:$J$150,0))="","",INDEX(Signale!$M$2:$M$150,MATCH("A-25",Signale!$J$2:$J$150,0))),"")</f>
        <v/>
      </c>
    </row>
    <row r="27">
      <c r="A27" s="5" t="n">
        <v>26</v>
      </c>
      <c r="B27" s="5">
        <f>IFERROR(INDEX(Signale!$B$2:$B$150,MATCH("A-26",Signale!$J$2:$J$150,0)),"")</f>
        <v/>
      </c>
      <c r="C27" s="5">
        <f>IFERROR(INDEX(Signale!$A$2:$A$150,MATCH("A-26",Signale!$J$2:$J$150,0)),"")</f>
        <v/>
      </c>
      <c r="D27" s="5">
        <f>IFERROR(INDEX(Signale!$C$2:$C$150,MATCH("A-26",Signale!$J$2:$J$150,0)),"")</f>
        <v/>
      </c>
      <c r="E27" s="5">
        <f>IFERROR(INDEX(Signale!$E$2:$E$150,MATCH("A-26",Signale!$J$2:$J$150,0)),"")</f>
        <v/>
      </c>
      <c r="F27" s="5">
        <f>IFERROR(INDEX(Signale!$F$2:$F$150,MATCH("A-26",Signale!$J$2:$J$150,0)),"")</f>
        <v/>
      </c>
      <c r="G27" s="5">
        <f>IF(COUNTIF(Signale!$J$2:$J$150,"A-26")=0,"frei",IF(COUNTIF(Signale!$J$2:$J$150,"A-26")&gt;1,"DOPPELT","belegt"))</f>
        <v/>
      </c>
      <c r="H27" s="5">
        <f>IFERROR(IF(INDEX(Signale!$L$2:$L$150,MATCH("A-26",Signale!$J$2:$J$150,0))="","",INDEX(Signale!$L$2:$L$150,MATCH("A-26",Signale!$J$2:$J$150,0))),"")</f>
        <v/>
      </c>
      <c r="I27" s="5">
        <f>IFERROR(IF(INDEX(Signale!$M$2:$M$150,MATCH("A-26",Signale!$J$2:$J$150,0))="","",INDEX(Signale!$M$2:$M$150,MATCH("A-26",Signale!$J$2:$J$150,0))),"")</f>
        <v/>
      </c>
    </row>
    <row r="28">
      <c r="A28" s="5" t="n">
        <v>27</v>
      </c>
      <c r="B28" s="5">
        <f>IFERROR(INDEX(Signale!$B$2:$B$150,MATCH("A-27",Signale!$J$2:$J$150,0)),"")</f>
        <v/>
      </c>
      <c r="C28" s="5">
        <f>IFERROR(INDEX(Signale!$A$2:$A$150,MATCH("A-27",Signale!$J$2:$J$150,0)),"")</f>
        <v/>
      </c>
      <c r="D28" s="5">
        <f>IFERROR(INDEX(Signale!$C$2:$C$150,MATCH("A-27",Signale!$J$2:$J$150,0)),"")</f>
        <v/>
      </c>
      <c r="E28" s="5">
        <f>IFERROR(INDEX(Signale!$E$2:$E$150,MATCH("A-27",Signale!$J$2:$J$150,0)),"")</f>
        <v/>
      </c>
      <c r="F28" s="5">
        <f>IFERROR(INDEX(Signale!$F$2:$F$150,MATCH("A-27",Signale!$J$2:$J$150,0)),"")</f>
        <v/>
      </c>
      <c r="G28" s="5">
        <f>IF(COUNTIF(Signale!$J$2:$J$150,"A-27")=0,"frei",IF(COUNTIF(Signale!$J$2:$J$150,"A-27")&gt;1,"DOPPELT","belegt"))</f>
        <v/>
      </c>
      <c r="H28" s="5">
        <f>IFERROR(IF(INDEX(Signale!$L$2:$L$150,MATCH("A-27",Signale!$J$2:$J$150,0))="","",INDEX(Signale!$L$2:$L$150,MATCH("A-27",Signale!$J$2:$J$150,0))),"")</f>
        <v/>
      </c>
      <c r="I28" s="5">
        <f>IFERROR(IF(INDEX(Signale!$M$2:$M$150,MATCH("A-27",Signale!$J$2:$J$150,0))="","",INDEX(Signale!$M$2:$M$150,MATCH("A-27",Signale!$J$2:$J$150,0))),"")</f>
        <v/>
      </c>
    </row>
    <row r="29">
      <c r="A29" s="5" t="n">
        <v>28</v>
      </c>
      <c r="B29" s="5">
        <f>IFERROR(INDEX(Signale!$B$2:$B$150,MATCH("A-28",Signale!$J$2:$J$150,0)),"")</f>
        <v/>
      </c>
      <c r="C29" s="5">
        <f>IFERROR(INDEX(Signale!$A$2:$A$150,MATCH("A-28",Signale!$J$2:$J$150,0)),"")</f>
        <v/>
      </c>
      <c r="D29" s="5">
        <f>IFERROR(INDEX(Signale!$C$2:$C$150,MATCH("A-28",Signale!$J$2:$J$150,0)),"")</f>
        <v/>
      </c>
      <c r="E29" s="5">
        <f>IFERROR(INDEX(Signale!$E$2:$E$150,MATCH("A-28",Signale!$J$2:$J$150,0)),"")</f>
        <v/>
      </c>
      <c r="F29" s="5">
        <f>IFERROR(INDEX(Signale!$F$2:$F$150,MATCH("A-28",Signale!$J$2:$J$150,0)),"")</f>
        <v/>
      </c>
      <c r="G29" s="5">
        <f>IF(COUNTIF(Signale!$J$2:$J$150,"A-28")=0,"frei",IF(COUNTIF(Signale!$J$2:$J$150,"A-28")&gt;1,"DOPPELT","belegt"))</f>
        <v/>
      </c>
      <c r="H29" s="5">
        <f>IFERROR(IF(INDEX(Signale!$L$2:$L$150,MATCH("A-28",Signale!$J$2:$J$150,0))="","",INDEX(Signale!$L$2:$L$150,MATCH("A-28",Signale!$J$2:$J$150,0))),"")</f>
        <v/>
      </c>
      <c r="I29" s="5">
        <f>IFERROR(IF(INDEX(Signale!$M$2:$M$150,MATCH("A-28",Signale!$J$2:$J$150,0))="","",INDEX(Signale!$M$2:$M$150,MATCH("A-28",Signale!$J$2:$J$150,0))),"")</f>
        <v/>
      </c>
    </row>
    <row r="30">
      <c r="A30" s="5" t="n">
        <v>29</v>
      </c>
      <c r="B30" s="5">
        <f>IFERROR(INDEX(Signale!$B$2:$B$150,MATCH("A-29",Signale!$J$2:$J$150,0)),"")</f>
        <v/>
      </c>
      <c r="C30" s="5">
        <f>IFERROR(INDEX(Signale!$A$2:$A$150,MATCH("A-29",Signale!$J$2:$J$150,0)),"")</f>
        <v/>
      </c>
      <c r="D30" s="5">
        <f>IFERROR(INDEX(Signale!$C$2:$C$150,MATCH("A-29",Signale!$J$2:$J$150,0)),"")</f>
        <v/>
      </c>
      <c r="E30" s="5">
        <f>IFERROR(INDEX(Signale!$E$2:$E$150,MATCH("A-29",Signale!$J$2:$J$150,0)),"")</f>
        <v/>
      </c>
      <c r="F30" s="5">
        <f>IFERROR(INDEX(Signale!$F$2:$F$150,MATCH("A-29",Signale!$J$2:$J$150,0)),"")</f>
        <v/>
      </c>
      <c r="G30" s="5">
        <f>IF(COUNTIF(Signale!$J$2:$J$150,"A-29")=0,"frei",IF(COUNTIF(Signale!$J$2:$J$150,"A-29")&gt;1,"DOPPELT","belegt"))</f>
        <v/>
      </c>
      <c r="H30" s="5">
        <f>IFERROR(IF(INDEX(Signale!$L$2:$L$150,MATCH("A-29",Signale!$J$2:$J$150,0))="","",INDEX(Signale!$L$2:$L$150,MATCH("A-29",Signale!$J$2:$J$150,0))),"")</f>
        <v/>
      </c>
      <c r="I30" s="5">
        <f>IFERROR(IF(INDEX(Signale!$M$2:$M$150,MATCH("A-29",Signale!$J$2:$J$150,0))="","",INDEX(Signale!$M$2:$M$150,MATCH("A-29",Signale!$J$2:$J$150,0))),"")</f>
        <v/>
      </c>
    </row>
    <row r="31">
      <c r="A31" s="5" t="n">
        <v>30</v>
      </c>
      <c r="B31" s="5">
        <f>IFERROR(INDEX(Signale!$B$2:$B$150,MATCH("A-30",Signale!$J$2:$J$150,0)),"")</f>
        <v/>
      </c>
      <c r="C31" s="5">
        <f>IFERROR(INDEX(Signale!$A$2:$A$150,MATCH("A-30",Signale!$J$2:$J$150,0)),"")</f>
        <v/>
      </c>
      <c r="D31" s="5">
        <f>IFERROR(INDEX(Signale!$C$2:$C$150,MATCH("A-30",Signale!$J$2:$J$150,0)),"")</f>
        <v/>
      </c>
      <c r="E31" s="5">
        <f>IFERROR(INDEX(Signale!$E$2:$E$150,MATCH("A-30",Signale!$J$2:$J$150,0)),"")</f>
        <v/>
      </c>
      <c r="F31" s="5">
        <f>IFERROR(INDEX(Signale!$F$2:$F$150,MATCH("A-30",Signale!$J$2:$J$150,0)),"")</f>
        <v/>
      </c>
      <c r="G31" s="5">
        <f>IF(COUNTIF(Signale!$J$2:$J$150,"A-30")=0,"frei",IF(COUNTIF(Signale!$J$2:$J$150,"A-30")&gt;1,"DOPPELT","belegt"))</f>
        <v/>
      </c>
      <c r="H31" s="5">
        <f>IFERROR(IF(INDEX(Signale!$L$2:$L$150,MATCH("A-30",Signale!$J$2:$J$150,0))="","",INDEX(Signale!$L$2:$L$150,MATCH("A-30",Signale!$J$2:$J$150,0))),"")</f>
        <v/>
      </c>
      <c r="I31" s="5">
        <f>IFERROR(IF(INDEX(Signale!$M$2:$M$150,MATCH("A-30",Signale!$J$2:$J$150,0))="","",INDEX(Signale!$M$2:$M$150,MATCH("A-30",Signale!$J$2:$J$150,0))),"")</f>
        <v/>
      </c>
    </row>
    <row r="32">
      <c r="A32" s="5" t="n">
        <v>31</v>
      </c>
      <c r="B32" s="5">
        <f>IFERROR(INDEX(Signale!$B$2:$B$150,MATCH("A-31",Signale!$J$2:$J$150,0)),"")</f>
        <v/>
      </c>
      <c r="C32" s="5">
        <f>IFERROR(INDEX(Signale!$A$2:$A$150,MATCH("A-31",Signale!$J$2:$J$150,0)),"")</f>
        <v/>
      </c>
      <c r="D32" s="5">
        <f>IFERROR(INDEX(Signale!$C$2:$C$150,MATCH("A-31",Signale!$J$2:$J$150,0)),"")</f>
        <v/>
      </c>
      <c r="E32" s="5">
        <f>IFERROR(INDEX(Signale!$E$2:$E$150,MATCH("A-31",Signale!$J$2:$J$150,0)),"")</f>
        <v/>
      </c>
      <c r="F32" s="5">
        <f>IFERROR(INDEX(Signale!$F$2:$F$150,MATCH("A-31",Signale!$J$2:$J$150,0)),"")</f>
        <v/>
      </c>
      <c r="G32" s="5">
        <f>IF(COUNTIF(Signale!$J$2:$J$150,"A-31")=0,"frei",IF(COUNTIF(Signale!$J$2:$J$150,"A-31")&gt;1,"DOPPELT","belegt"))</f>
        <v/>
      </c>
      <c r="H32" s="5">
        <f>IFERROR(IF(INDEX(Signale!$L$2:$L$150,MATCH("A-31",Signale!$J$2:$J$150,0))="","",INDEX(Signale!$L$2:$L$150,MATCH("A-31",Signale!$J$2:$J$150,0))),"")</f>
        <v/>
      </c>
      <c r="I32" s="5">
        <f>IFERROR(IF(INDEX(Signale!$M$2:$M$150,MATCH("A-31",Signale!$J$2:$J$150,0))="","",INDEX(Signale!$M$2:$M$150,MATCH("A-31",Signale!$J$2:$J$150,0))),"")</f>
        <v/>
      </c>
    </row>
    <row r="33">
      <c r="A33" s="5" t="n">
        <v>32</v>
      </c>
      <c r="B33" s="5">
        <f>IFERROR(INDEX(Signale!$B$2:$B$150,MATCH("A-32",Signale!$J$2:$J$150,0)),"")</f>
        <v/>
      </c>
      <c r="C33" s="5">
        <f>IFERROR(INDEX(Signale!$A$2:$A$150,MATCH("A-32",Signale!$J$2:$J$150,0)),"")</f>
        <v/>
      </c>
      <c r="D33" s="5">
        <f>IFERROR(INDEX(Signale!$C$2:$C$150,MATCH("A-32",Signale!$J$2:$J$150,0)),"")</f>
        <v/>
      </c>
      <c r="E33" s="5">
        <f>IFERROR(INDEX(Signale!$E$2:$E$150,MATCH("A-32",Signale!$J$2:$J$150,0)),"")</f>
        <v/>
      </c>
      <c r="F33" s="5">
        <f>IFERROR(INDEX(Signale!$F$2:$F$150,MATCH("A-32",Signale!$J$2:$J$150,0)),"")</f>
        <v/>
      </c>
      <c r="G33" s="5">
        <f>IF(COUNTIF(Signale!$J$2:$J$150,"A-32")=0,"frei",IF(COUNTIF(Signale!$J$2:$J$150,"A-32")&gt;1,"DOPPELT","belegt"))</f>
        <v/>
      </c>
      <c r="H33" s="5">
        <f>IFERROR(IF(INDEX(Signale!$L$2:$L$150,MATCH("A-32",Signale!$J$2:$J$150,0))="","",INDEX(Signale!$L$2:$L$150,MATCH("A-32",Signale!$J$2:$J$150,0))),"")</f>
        <v/>
      </c>
      <c r="I33" s="5">
        <f>IFERROR(IF(INDEX(Signale!$M$2:$M$150,MATCH("A-32",Signale!$J$2:$J$150,0))="","",INDEX(Signale!$M$2:$M$150,MATCH("A-32",Signale!$J$2:$J$150,0))),"")</f>
        <v/>
      </c>
    </row>
    <row r="34">
      <c r="A34" s="5" t="n">
        <v>33</v>
      </c>
      <c r="B34" s="5">
        <f>IFERROR(INDEX(Signale!$B$2:$B$150,MATCH("A-33",Signale!$J$2:$J$150,0)),"")</f>
        <v/>
      </c>
      <c r="C34" s="5">
        <f>IFERROR(INDEX(Signale!$A$2:$A$150,MATCH("A-33",Signale!$J$2:$J$150,0)),"")</f>
        <v/>
      </c>
      <c r="D34" s="5">
        <f>IFERROR(INDEX(Signale!$C$2:$C$150,MATCH("A-33",Signale!$J$2:$J$150,0)),"")</f>
        <v/>
      </c>
      <c r="E34" s="5">
        <f>IFERROR(INDEX(Signale!$E$2:$E$150,MATCH("A-33",Signale!$J$2:$J$150,0)),"")</f>
        <v/>
      </c>
      <c r="F34" s="5">
        <f>IFERROR(INDEX(Signale!$F$2:$F$150,MATCH("A-33",Signale!$J$2:$J$150,0)),"")</f>
        <v/>
      </c>
      <c r="G34" s="5">
        <f>IF(COUNTIF(Signale!$J$2:$J$150,"A-33")=0,"frei",IF(COUNTIF(Signale!$J$2:$J$150,"A-33")&gt;1,"DOPPELT","belegt"))</f>
        <v/>
      </c>
      <c r="H34" s="5">
        <f>IFERROR(IF(INDEX(Signale!$L$2:$L$150,MATCH("A-33",Signale!$J$2:$J$150,0))="","",INDEX(Signale!$L$2:$L$150,MATCH("A-33",Signale!$J$2:$J$150,0))),"")</f>
        <v/>
      </c>
      <c r="I34" s="5">
        <f>IFERROR(IF(INDEX(Signale!$M$2:$M$150,MATCH("A-33",Signale!$J$2:$J$150,0))="","",INDEX(Signale!$M$2:$M$150,MATCH("A-33",Signale!$J$2:$J$150,0))),"")</f>
        <v/>
      </c>
    </row>
    <row r="35">
      <c r="A35" s="5" t="n">
        <v>34</v>
      </c>
      <c r="B35" s="5">
        <f>IFERROR(INDEX(Signale!$B$2:$B$150,MATCH("A-34",Signale!$J$2:$J$150,0)),"")</f>
        <v/>
      </c>
      <c r="C35" s="5">
        <f>IFERROR(INDEX(Signale!$A$2:$A$150,MATCH("A-34",Signale!$J$2:$J$150,0)),"")</f>
        <v/>
      </c>
      <c r="D35" s="5">
        <f>IFERROR(INDEX(Signale!$C$2:$C$150,MATCH("A-34",Signale!$J$2:$J$150,0)),"")</f>
        <v/>
      </c>
      <c r="E35" s="5">
        <f>IFERROR(INDEX(Signale!$E$2:$E$150,MATCH("A-34",Signale!$J$2:$J$150,0)),"")</f>
        <v/>
      </c>
      <c r="F35" s="5">
        <f>IFERROR(INDEX(Signale!$F$2:$F$150,MATCH("A-34",Signale!$J$2:$J$150,0)),"")</f>
        <v/>
      </c>
      <c r="G35" s="5">
        <f>IF(COUNTIF(Signale!$J$2:$J$150,"A-34")=0,"frei",IF(COUNTIF(Signale!$J$2:$J$150,"A-34")&gt;1,"DOPPELT","belegt"))</f>
        <v/>
      </c>
      <c r="H35" s="5">
        <f>IFERROR(IF(INDEX(Signale!$L$2:$L$150,MATCH("A-34",Signale!$J$2:$J$150,0))="","",INDEX(Signale!$L$2:$L$150,MATCH("A-34",Signale!$J$2:$J$150,0))),"")</f>
        <v/>
      </c>
      <c r="I35" s="5">
        <f>IFERROR(IF(INDEX(Signale!$M$2:$M$150,MATCH("A-34",Signale!$J$2:$J$150,0))="","",INDEX(Signale!$M$2:$M$150,MATCH("A-34",Signale!$J$2:$J$150,0))),"")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14" t="inlineStr">
        <is>
          <t>Belegt</t>
        </is>
      </c>
      <c r="B37" s="9">
        <f>COUNTIF(G2:G35,"belegt")+COUNTIF(G2:G35,"DOPPELT")</f>
        <v/>
      </c>
      <c r="C37" s="9" t="n"/>
      <c r="D37" s="9" t="n"/>
      <c r="E37" s="9" t="n"/>
      <c r="F37" s="9" t="n"/>
      <c r="G37" s="9" t="n"/>
      <c r="H37" s="9" t="n"/>
      <c r="I37" s="9" t="n"/>
    </row>
    <row r="38">
      <c r="A38" s="14" t="inlineStr">
        <is>
          <t>Frei</t>
        </is>
      </c>
      <c r="B38" s="9">
        <f>COUNTIF(G2:G35,"frei")</f>
        <v/>
      </c>
      <c r="C38" s="9" t="n"/>
      <c r="D38" s="9" t="n"/>
      <c r="E38" s="9" t="n"/>
      <c r="F38" s="9" t="n"/>
      <c r="G38" s="9" t="n"/>
      <c r="H38" s="9" t="n"/>
      <c r="I38" s="9" t="n"/>
    </row>
  </sheetData>
  <conditionalFormatting sqref="G2:G35">
    <cfRule type="cellIs" priority="1" operator="equal" dxfId="0">
      <formula>"DOPPELT"</formula>
    </cfRule>
    <cfRule type="cellIs" priority="2" operator="equal" dxfId="2">
      <formula>"frei"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8" customWidth="1" min="4" max="4"/>
    <col width="18" customWidth="1" min="5" max="5"/>
    <col width="10" customWidth="1" min="6" max="6"/>
    <col width="11" customWidth="1" min="7" max="7"/>
    <col width="14" customWidth="1" min="8" max="8"/>
    <col width="12" customWidth="1" min="9" max="9"/>
  </cols>
  <sheetData>
    <row r="1">
      <c r="A1" s="13" t="inlineStr">
        <is>
          <t>Pin</t>
        </is>
      </c>
      <c r="B1" s="13" t="inlineStr">
        <is>
          <t>Signal</t>
        </is>
      </c>
      <c r="C1" s="13" t="inlineStr">
        <is>
          <t>Gruppe</t>
        </is>
      </c>
      <c r="D1" s="13" t="inlineStr">
        <is>
          <t>Netz</t>
        </is>
      </c>
      <c r="E1" s="13" t="inlineStr">
        <is>
          <t>Typ</t>
        </is>
      </c>
      <c r="F1" s="13" t="inlineStr">
        <is>
          <t>Strom max</t>
        </is>
      </c>
      <c r="G1" s="13" t="inlineStr">
        <is>
          <t>Belegung</t>
        </is>
      </c>
      <c r="H1" s="13" t="inlineStr">
        <is>
          <t>Kabelfarbe</t>
        </is>
      </c>
      <c r="I1" s="13" t="inlineStr">
        <is>
          <t>Querschnitt mm²</t>
        </is>
      </c>
    </row>
    <row r="2">
      <c r="A2" s="5" t="n">
        <v>1</v>
      </c>
      <c r="B2" s="5">
        <f>IFERROR(INDEX(Signale!$B$2:$B$150,MATCH("B-1",Signale!$J$2:$J$150,0)),"")</f>
        <v/>
      </c>
      <c r="C2" s="5">
        <f>IFERROR(INDEX(Signale!$A$2:$A$150,MATCH("B-1",Signale!$J$2:$J$150,0)),"")</f>
        <v/>
      </c>
      <c r="D2" s="5">
        <f>IFERROR(INDEX(Signale!$C$2:$C$150,MATCH("B-1",Signale!$J$2:$J$150,0)),"")</f>
        <v/>
      </c>
      <c r="E2" s="5">
        <f>IFERROR(INDEX(Signale!$E$2:$E$150,MATCH("B-1",Signale!$J$2:$J$150,0)),"")</f>
        <v/>
      </c>
      <c r="F2" s="5">
        <f>IFERROR(INDEX(Signale!$F$2:$F$150,MATCH("B-1",Signale!$J$2:$J$150,0)),"")</f>
        <v/>
      </c>
      <c r="G2" s="5">
        <f>IF(COUNTIF(Signale!$J$2:$J$150,"B-1")=0,"frei",IF(COUNTIF(Signale!$J$2:$J$150,"B-1")&gt;1,"DOPPELT","belegt"))</f>
        <v/>
      </c>
      <c r="H2" s="5">
        <f>IFERROR(IF(INDEX(Signale!$L$2:$L$150,MATCH("B-1",Signale!$J$2:$J$150,0))="","",INDEX(Signale!$L$2:$L$150,MATCH("B-1",Signale!$J$2:$J$150,0))),"")</f>
        <v/>
      </c>
      <c r="I2" s="5">
        <f>IFERROR(IF(INDEX(Signale!$M$2:$M$150,MATCH("B-1",Signale!$J$2:$J$150,0))="","",INDEX(Signale!$M$2:$M$150,MATCH("B-1",Signale!$J$2:$J$150,0))),"")</f>
        <v/>
      </c>
    </row>
    <row r="3">
      <c r="A3" s="5" t="n">
        <v>2</v>
      </c>
      <c r="B3" s="5">
        <f>IFERROR(INDEX(Signale!$B$2:$B$150,MATCH("B-2",Signale!$J$2:$J$150,0)),"")</f>
        <v/>
      </c>
      <c r="C3" s="5">
        <f>IFERROR(INDEX(Signale!$A$2:$A$150,MATCH("B-2",Signale!$J$2:$J$150,0)),"")</f>
        <v/>
      </c>
      <c r="D3" s="5">
        <f>IFERROR(INDEX(Signale!$C$2:$C$150,MATCH("B-2",Signale!$J$2:$J$150,0)),"")</f>
        <v/>
      </c>
      <c r="E3" s="5">
        <f>IFERROR(INDEX(Signale!$E$2:$E$150,MATCH("B-2",Signale!$J$2:$J$150,0)),"")</f>
        <v/>
      </c>
      <c r="F3" s="5">
        <f>IFERROR(INDEX(Signale!$F$2:$F$150,MATCH("B-2",Signale!$J$2:$J$150,0)),"")</f>
        <v/>
      </c>
      <c r="G3" s="5">
        <f>IF(COUNTIF(Signale!$J$2:$J$150,"B-2")=0,"frei",IF(COUNTIF(Signale!$J$2:$J$150,"B-2")&gt;1,"DOPPELT","belegt"))</f>
        <v/>
      </c>
      <c r="H3" s="5">
        <f>IFERROR(IF(INDEX(Signale!$L$2:$L$150,MATCH("B-2",Signale!$J$2:$J$150,0))="","",INDEX(Signale!$L$2:$L$150,MATCH("B-2",Signale!$J$2:$J$150,0))),"")</f>
        <v/>
      </c>
      <c r="I3" s="5">
        <f>IFERROR(IF(INDEX(Signale!$M$2:$M$150,MATCH("B-2",Signale!$J$2:$J$150,0))="","",INDEX(Signale!$M$2:$M$150,MATCH("B-2",Signale!$J$2:$J$150,0))),"")</f>
        <v/>
      </c>
    </row>
    <row r="4">
      <c r="A4" s="5" t="n">
        <v>3</v>
      </c>
      <c r="B4" s="5">
        <f>IFERROR(INDEX(Signale!$B$2:$B$150,MATCH("B-3",Signale!$J$2:$J$150,0)),"")</f>
        <v/>
      </c>
      <c r="C4" s="5">
        <f>IFERROR(INDEX(Signale!$A$2:$A$150,MATCH("B-3",Signale!$J$2:$J$150,0)),"")</f>
        <v/>
      </c>
      <c r="D4" s="5">
        <f>IFERROR(INDEX(Signale!$C$2:$C$150,MATCH("B-3",Signale!$J$2:$J$150,0)),"")</f>
        <v/>
      </c>
      <c r="E4" s="5">
        <f>IFERROR(INDEX(Signale!$E$2:$E$150,MATCH("B-3",Signale!$J$2:$J$150,0)),"")</f>
        <v/>
      </c>
      <c r="F4" s="5">
        <f>IFERROR(INDEX(Signale!$F$2:$F$150,MATCH("B-3",Signale!$J$2:$J$150,0)),"")</f>
        <v/>
      </c>
      <c r="G4" s="5">
        <f>IF(COUNTIF(Signale!$J$2:$J$150,"B-3")=0,"frei",IF(COUNTIF(Signale!$J$2:$J$150,"B-3")&gt;1,"DOPPELT","belegt"))</f>
        <v/>
      </c>
      <c r="H4" s="5">
        <f>IFERROR(IF(INDEX(Signale!$L$2:$L$150,MATCH("B-3",Signale!$J$2:$J$150,0))="","",INDEX(Signale!$L$2:$L$150,MATCH("B-3",Signale!$J$2:$J$150,0))),"")</f>
        <v/>
      </c>
      <c r="I4" s="5">
        <f>IFERROR(IF(INDEX(Signale!$M$2:$M$150,MATCH("B-3",Signale!$J$2:$J$150,0))="","",INDEX(Signale!$M$2:$M$150,MATCH("B-3",Signale!$J$2:$J$150,0))),"")</f>
        <v/>
      </c>
    </row>
    <row r="5">
      <c r="A5" s="5" t="n">
        <v>4</v>
      </c>
      <c r="B5" s="5">
        <f>IFERROR(INDEX(Signale!$B$2:$B$150,MATCH("B-4",Signale!$J$2:$J$150,0)),"")</f>
        <v/>
      </c>
      <c r="C5" s="5">
        <f>IFERROR(INDEX(Signale!$A$2:$A$150,MATCH("B-4",Signale!$J$2:$J$150,0)),"")</f>
        <v/>
      </c>
      <c r="D5" s="5">
        <f>IFERROR(INDEX(Signale!$C$2:$C$150,MATCH("B-4",Signale!$J$2:$J$150,0)),"")</f>
        <v/>
      </c>
      <c r="E5" s="5">
        <f>IFERROR(INDEX(Signale!$E$2:$E$150,MATCH("B-4",Signale!$J$2:$J$150,0)),"")</f>
        <v/>
      </c>
      <c r="F5" s="5">
        <f>IFERROR(INDEX(Signale!$F$2:$F$150,MATCH("B-4",Signale!$J$2:$J$150,0)),"")</f>
        <v/>
      </c>
      <c r="G5" s="5">
        <f>IF(COUNTIF(Signale!$J$2:$J$150,"B-4")=0,"frei",IF(COUNTIF(Signale!$J$2:$J$150,"B-4")&gt;1,"DOPPELT","belegt"))</f>
        <v/>
      </c>
      <c r="H5" s="5">
        <f>IFERROR(IF(INDEX(Signale!$L$2:$L$150,MATCH("B-4",Signale!$J$2:$J$150,0))="","",INDEX(Signale!$L$2:$L$150,MATCH("B-4",Signale!$J$2:$J$150,0))),"")</f>
        <v/>
      </c>
      <c r="I5" s="5">
        <f>IFERROR(IF(INDEX(Signale!$M$2:$M$150,MATCH("B-4",Signale!$J$2:$J$150,0))="","",INDEX(Signale!$M$2:$M$150,MATCH("B-4",Signale!$J$2:$J$150,0))),"")</f>
        <v/>
      </c>
    </row>
    <row r="6">
      <c r="A6" s="5" t="n">
        <v>5</v>
      </c>
      <c r="B6" s="5">
        <f>IFERROR(INDEX(Signale!$B$2:$B$150,MATCH("B-5",Signale!$J$2:$J$150,0)),"")</f>
        <v/>
      </c>
      <c r="C6" s="5">
        <f>IFERROR(INDEX(Signale!$A$2:$A$150,MATCH("B-5",Signale!$J$2:$J$150,0)),"")</f>
        <v/>
      </c>
      <c r="D6" s="5">
        <f>IFERROR(INDEX(Signale!$C$2:$C$150,MATCH("B-5",Signale!$J$2:$J$150,0)),"")</f>
        <v/>
      </c>
      <c r="E6" s="5">
        <f>IFERROR(INDEX(Signale!$E$2:$E$150,MATCH("B-5",Signale!$J$2:$J$150,0)),"")</f>
        <v/>
      </c>
      <c r="F6" s="5">
        <f>IFERROR(INDEX(Signale!$F$2:$F$150,MATCH("B-5",Signale!$J$2:$J$150,0)),"")</f>
        <v/>
      </c>
      <c r="G6" s="5">
        <f>IF(COUNTIF(Signale!$J$2:$J$150,"B-5")=0,"frei",IF(COUNTIF(Signale!$J$2:$J$150,"B-5")&gt;1,"DOPPELT","belegt"))</f>
        <v/>
      </c>
      <c r="H6" s="5">
        <f>IFERROR(IF(INDEX(Signale!$L$2:$L$150,MATCH("B-5",Signale!$J$2:$J$150,0))="","",INDEX(Signale!$L$2:$L$150,MATCH("B-5",Signale!$J$2:$J$150,0))),"")</f>
        <v/>
      </c>
      <c r="I6" s="5">
        <f>IFERROR(IF(INDEX(Signale!$M$2:$M$150,MATCH("B-5",Signale!$J$2:$J$150,0))="","",INDEX(Signale!$M$2:$M$150,MATCH("B-5",Signale!$J$2:$J$150,0))),"")</f>
        <v/>
      </c>
    </row>
    <row r="7">
      <c r="A7" s="5" t="n">
        <v>6</v>
      </c>
      <c r="B7" s="5">
        <f>IFERROR(INDEX(Signale!$B$2:$B$150,MATCH("B-6",Signale!$J$2:$J$150,0)),"")</f>
        <v/>
      </c>
      <c r="C7" s="5">
        <f>IFERROR(INDEX(Signale!$A$2:$A$150,MATCH("B-6",Signale!$J$2:$J$150,0)),"")</f>
        <v/>
      </c>
      <c r="D7" s="5">
        <f>IFERROR(INDEX(Signale!$C$2:$C$150,MATCH("B-6",Signale!$J$2:$J$150,0)),"")</f>
        <v/>
      </c>
      <c r="E7" s="5">
        <f>IFERROR(INDEX(Signale!$E$2:$E$150,MATCH("B-6",Signale!$J$2:$J$150,0)),"")</f>
        <v/>
      </c>
      <c r="F7" s="5">
        <f>IFERROR(INDEX(Signale!$F$2:$F$150,MATCH("B-6",Signale!$J$2:$J$150,0)),"")</f>
        <v/>
      </c>
      <c r="G7" s="5">
        <f>IF(COUNTIF(Signale!$J$2:$J$150,"B-6")=0,"frei",IF(COUNTIF(Signale!$J$2:$J$150,"B-6")&gt;1,"DOPPELT","belegt"))</f>
        <v/>
      </c>
      <c r="H7" s="5">
        <f>IFERROR(IF(INDEX(Signale!$L$2:$L$150,MATCH("B-6",Signale!$J$2:$J$150,0))="","",INDEX(Signale!$L$2:$L$150,MATCH("B-6",Signale!$J$2:$J$150,0))),"")</f>
        <v/>
      </c>
      <c r="I7" s="5">
        <f>IFERROR(IF(INDEX(Signale!$M$2:$M$150,MATCH("B-6",Signale!$J$2:$J$150,0))="","",INDEX(Signale!$M$2:$M$150,MATCH("B-6",Signale!$J$2:$J$150,0))),"")</f>
        <v/>
      </c>
    </row>
    <row r="8">
      <c r="A8" s="5" t="n">
        <v>7</v>
      </c>
      <c r="B8" s="5">
        <f>IFERROR(INDEX(Signale!$B$2:$B$150,MATCH("B-7",Signale!$J$2:$J$150,0)),"")</f>
        <v/>
      </c>
      <c r="C8" s="5">
        <f>IFERROR(INDEX(Signale!$A$2:$A$150,MATCH("B-7",Signale!$J$2:$J$150,0)),"")</f>
        <v/>
      </c>
      <c r="D8" s="5">
        <f>IFERROR(INDEX(Signale!$C$2:$C$150,MATCH("B-7",Signale!$J$2:$J$150,0)),"")</f>
        <v/>
      </c>
      <c r="E8" s="5">
        <f>IFERROR(INDEX(Signale!$E$2:$E$150,MATCH("B-7",Signale!$J$2:$J$150,0)),"")</f>
        <v/>
      </c>
      <c r="F8" s="5">
        <f>IFERROR(INDEX(Signale!$F$2:$F$150,MATCH("B-7",Signale!$J$2:$J$150,0)),"")</f>
        <v/>
      </c>
      <c r="G8" s="5">
        <f>IF(COUNTIF(Signale!$J$2:$J$150,"B-7")=0,"frei",IF(COUNTIF(Signale!$J$2:$J$150,"B-7")&gt;1,"DOPPELT","belegt"))</f>
        <v/>
      </c>
      <c r="H8" s="5">
        <f>IFERROR(IF(INDEX(Signale!$L$2:$L$150,MATCH("B-7",Signale!$J$2:$J$150,0))="","",INDEX(Signale!$L$2:$L$150,MATCH("B-7",Signale!$J$2:$J$150,0))),"")</f>
        <v/>
      </c>
      <c r="I8" s="5">
        <f>IFERROR(IF(INDEX(Signale!$M$2:$M$150,MATCH("B-7",Signale!$J$2:$J$150,0))="","",INDEX(Signale!$M$2:$M$150,MATCH("B-7",Signale!$J$2:$J$150,0))),"")</f>
        <v/>
      </c>
    </row>
    <row r="9">
      <c r="A9" s="5" t="n">
        <v>8</v>
      </c>
      <c r="B9" s="5">
        <f>IFERROR(INDEX(Signale!$B$2:$B$150,MATCH("B-8",Signale!$J$2:$J$150,0)),"")</f>
        <v/>
      </c>
      <c r="C9" s="5">
        <f>IFERROR(INDEX(Signale!$A$2:$A$150,MATCH("B-8",Signale!$J$2:$J$150,0)),"")</f>
        <v/>
      </c>
      <c r="D9" s="5">
        <f>IFERROR(INDEX(Signale!$C$2:$C$150,MATCH("B-8",Signale!$J$2:$J$150,0)),"")</f>
        <v/>
      </c>
      <c r="E9" s="5">
        <f>IFERROR(INDEX(Signale!$E$2:$E$150,MATCH("B-8",Signale!$J$2:$J$150,0)),"")</f>
        <v/>
      </c>
      <c r="F9" s="5">
        <f>IFERROR(INDEX(Signale!$F$2:$F$150,MATCH("B-8",Signale!$J$2:$J$150,0)),"")</f>
        <v/>
      </c>
      <c r="G9" s="5">
        <f>IF(COUNTIF(Signale!$J$2:$J$150,"B-8")=0,"frei",IF(COUNTIF(Signale!$J$2:$J$150,"B-8")&gt;1,"DOPPELT","belegt"))</f>
        <v/>
      </c>
      <c r="H9" s="5">
        <f>IFERROR(IF(INDEX(Signale!$L$2:$L$150,MATCH("B-8",Signale!$J$2:$J$150,0))="","",INDEX(Signale!$L$2:$L$150,MATCH("B-8",Signale!$J$2:$J$150,0))),"")</f>
        <v/>
      </c>
      <c r="I9" s="5">
        <f>IFERROR(IF(INDEX(Signale!$M$2:$M$150,MATCH("B-8",Signale!$J$2:$J$150,0))="","",INDEX(Signale!$M$2:$M$150,MATCH("B-8",Signale!$J$2:$J$150,0))),"")</f>
        <v/>
      </c>
    </row>
    <row r="10">
      <c r="A10" s="5" t="n">
        <v>9</v>
      </c>
      <c r="B10" s="5">
        <f>IFERROR(INDEX(Signale!$B$2:$B$150,MATCH("B-9",Signale!$J$2:$J$150,0)),"")</f>
        <v/>
      </c>
      <c r="C10" s="5">
        <f>IFERROR(INDEX(Signale!$A$2:$A$150,MATCH("B-9",Signale!$J$2:$J$150,0)),"")</f>
        <v/>
      </c>
      <c r="D10" s="5">
        <f>IFERROR(INDEX(Signale!$C$2:$C$150,MATCH("B-9",Signale!$J$2:$J$150,0)),"")</f>
        <v/>
      </c>
      <c r="E10" s="5">
        <f>IFERROR(INDEX(Signale!$E$2:$E$150,MATCH("B-9",Signale!$J$2:$J$150,0)),"")</f>
        <v/>
      </c>
      <c r="F10" s="5">
        <f>IFERROR(INDEX(Signale!$F$2:$F$150,MATCH("B-9",Signale!$J$2:$J$150,0)),"")</f>
        <v/>
      </c>
      <c r="G10" s="5">
        <f>IF(COUNTIF(Signale!$J$2:$J$150,"B-9")=0,"frei",IF(COUNTIF(Signale!$J$2:$J$150,"B-9")&gt;1,"DOPPELT","belegt"))</f>
        <v/>
      </c>
      <c r="H10" s="5">
        <f>IFERROR(IF(INDEX(Signale!$L$2:$L$150,MATCH("B-9",Signale!$J$2:$J$150,0))="","",INDEX(Signale!$L$2:$L$150,MATCH("B-9",Signale!$J$2:$J$150,0))),"")</f>
        <v/>
      </c>
      <c r="I10" s="5">
        <f>IFERROR(IF(INDEX(Signale!$M$2:$M$150,MATCH("B-9",Signale!$J$2:$J$150,0))="","",INDEX(Signale!$M$2:$M$150,MATCH("B-9",Signale!$J$2:$J$150,0))),"")</f>
        <v/>
      </c>
    </row>
    <row r="11">
      <c r="A11" s="5" t="n">
        <v>10</v>
      </c>
      <c r="B11" s="5">
        <f>IFERROR(INDEX(Signale!$B$2:$B$150,MATCH("B-10",Signale!$J$2:$J$150,0)),"")</f>
        <v/>
      </c>
      <c r="C11" s="5">
        <f>IFERROR(INDEX(Signale!$A$2:$A$150,MATCH("B-10",Signale!$J$2:$J$150,0)),"")</f>
        <v/>
      </c>
      <c r="D11" s="5">
        <f>IFERROR(INDEX(Signale!$C$2:$C$150,MATCH("B-10",Signale!$J$2:$J$150,0)),"")</f>
        <v/>
      </c>
      <c r="E11" s="5">
        <f>IFERROR(INDEX(Signale!$E$2:$E$150,MATCH("B-10",Signale!$J$2:$J$150,0)),"")</f>
        <v/>
      </c>
      <c r="F11" s="5">
        <f>IFERROR(INDEX(Signale!$F$2:$F$150,MATCH("B-10",Signale!$J$2:$J$150,0)),"")</f>
        <v/>
      </c>
      <c r="G11" s="5">
        <f>IF(COUNTIF(Signale!$J$2:$J$150,"B-10")=0,"frei",IF(COUNTIF(Signale!$J$2:$J$150,"B-10")&gt;1,"DOPPELT","belegt"))</f>
        <v/>
      </c>
      <c r="H11" s="5">
        <f>IFERROR(IF(INDEX(Signale!$L$2:$L$150,MATCH("B-10",Signale!$J$2:$J$150,0))="","",INDEX(Signale!$L$2:$L$150,MATCH("B-10",Signale!$J$2:$J$150,0))),"")</f>
        <v/>
      </c>
      <c r="I11" s="5">
        <f>IFERROR(IF(INDEX(Signale!$M$2:$M$150,MATCH("B-10",Signale!$J$2:$J$150,0))="","",INDEX(Signale!$M$2:$M$150,MATCH("B-10",Signale!$J$2:$J$150,0))),"")</f>
        <v/>
      </c>
    </row>
    <row r="12">
      <c r="A12" s="5" t="n">
        <v>11</v>
      </c>
      <c r="B12" s="5">
        <f>IFERROR(INDEX(Signale!$B$2:$B$150,MATCH("B-11",Signale!$J$2:$J$150,0)),"")</f>
        <v/>
      </c>
      <c r="C12" s="5">
        <f>IFERROR(INDEX(Signale!$A$2:$A$150,MATCH("B-11",Signale!$J$2:$J$150,0)),"")</f>
        <v/>
      </c>
      <c r="D12" s="5">
        <f>IFERROR(INDEX(Signale!$C$2:$C$150,MATCH("B-11",Signale!$J$2:$J$150,0)),"")</f>
        <v/>
      </c>
      <c r="E12" s="5">
        <f>IFERROR(INDEX(Signale!$E$2:$E$150,MATCH("B-11",Signale!$J$2:$J$150,0)),"")</f>
        <v/>
      </c>
      <c r="F12" s="5">
        <f>IFERROR(INDEX(Signale!$F$2:$F$150,MATCH("B-11",Signale!$J$2:$J$150,0)),"")</f>
        <v/>
      </c>
      <c r="G12" s="5">
        <f>IF(COUNTIF(Signale!$J$2:$J$150,"B-11")=0,"frei",IF(COUNTIF(Signale!$J$2:$J$150,"B-11")&gt;1,"DOPPELT","belegt"))</f>
        <v/>
      </c>
      <c r="H12" s="5">
        <f>IFERROR(IF(INDEX(Signale!$L$2:$L$150,MATCH("B-11",Signale!$J$2:$J$150,0))="","",INDEX(Signale!$L$2:$L$150,MATCH("B-11",Signale!$J$2:$J$150,0))),"")</f>
        <v/>
      </c>
      <c r="I12" s="5">
        <f>IFERROR(IF(INDEX(Signale!$M$2:$M$150,MATCH("B-11",Signale!$J$2:$J$150,0))="","",INDEX(Signale!$M$2:$M$150,MATCH("B-11",Signale!$J$2:$J$150,0))),"")</f>
        <v/>
      </c>
    </row>
    <row r="13">
      <c r="A13" s="5" t="n">
        <v>12</v>
      </c>
      <c r="B13" s="5">
        <f>IFERROR(INDEX(Signale!$B$2:$B$150,MATCH("B-12",Signale!$J$2:$J$150,0)),"")</f>
        <v/>
      </c>
      <c r="C13" s="5">
        <f>IFERROR(INDEX(Signale!$A$2:$A$150,MATCH("B-12",Signale!$J$2:$J$150,0)),"")</f>
        <v/>
      </c>
      <c r="D13" s="5">
        <f>IFERROR(INDEX(Signale!$C$2:$C$150,MATCH("B-12",Signale!$J$2:$J$150,0)),"")</f>
        <v/>
      </c>
      <c r="E13" s="5">
        <f>IFERROR(INDEX(Signale!$E$2:$E$150,MATCH("B-12",Signale!$J$2:$J$150,0)),"")</f>
        <v/>
      </c>
      <c r="F13" s="5">
        <f>IFERROR(INDEX(Signale!$F$2:$F$150,MATCH("B-12",Signale!$J$2:$J$150,0)),"")</f>
        <v/>
      </c>
      <c r="G13" s="5">
        <f>IF(COUNTIF(Signale!$J$2:$J$150,"B-12")=0,"frei",IF(COUNTIF(Signale!$J$2:$J$150,"B-12")&gt;1,"DOPPELT","belegt"))</f>
        <v/>
      </c>
      <c r="H13" s="5">
        <f>IFERROR(IF(INDEX(Signale!$L$2:$L$150,MATCH("B-12",Signale!$J$2:$J$150,0))="","",INDEX(Signale!$L$2:$L$150,MATCH("B-12",Signale!$J$2:$J$150,0))),"")</f>
        <v/>
      </c>
      <c r="I13" s="5">
        <f>IFERROR(IF(INDEX(Signale!$M$2:$M$150,MATCH("B-12",Signale!$J$2:$J$150,0))="","",INDEX(Signale!$M$2:$M$150,MATCH("B-12",Signale!$J$2:$J$150,0))),"")</f>
        <v/>
      </c>
    </row>
    <row r="14">
      <c r="A14" s="5" t="n">
        <v>13</v>
      </c>
      <c r="B14" s="5">
        <f>IFERROR(INDEX(Signale!$B$2:$B$150,MATCH("B-13",Signale!$J$2:$J$150,0)),"")</f>
        <v/>
      </c>
      <c r="C14" s="5">
        <f>IFERROR(INDEX(Signale!$A$2:$A$150,MATCH("B-13",Signale!$J$2:$J$150,0)),"")</f>
        <v/>
      </c>
      <c r="D14" s="5">
        <f>IFERROR(INDEX(Signale!$C$2:$C$150,MATCH("B-13",Signale!$J$2:$J$150,0)),"")</f>
        <v/>
      </c>
      <c r="E14" s="5">
        <f>IFERROR(INDEX(Signale!$E$2:$E$150,MATCH("B-13",Signale!$J$2:$J$150,0)),"")</f>
        <v/>
      </c>
      <c r="F14" s="5">
        <f>IFERROR(INDEX(Signale!$F$2:$F$150,MATCH("B-13",Signale!$J$2:$J$150,0)),"")</f>
        <v/>
      </c>
      <c r="G14" s="5">
        <f>IF(COUNTIF(Signale!$J$2:$J$150,"B-13")=0,"frei",IF(COUNTIF(Signale!$J$2:$J$150,"B-13")&gt;1,"DOPPELT","belegt"))</f>
        <v/>
      </c>
      <c r="H14" s="5">
        <f>IFERROR(IF(INDEX(Signale!$L$2:$L$150,MATCH("B-13",Signale!$J$2:$J$150,0))="","",INDEX(Signale!$L$2:$L$150,MATCH("B-13",Signale!$J$2:$J$150,0))),"")</f>
        <v/>
      </c>
      <c r="I14" s="5">
        <f>IFERROR(IF(INDEX(Signale!$M$2:$M$150,MATCH("B-13",Signale!$J$2:$J$150,0))="","",INDEX(Signale!$M$2:$M$150,MATCH("B-13",Signale!$J$2:$J$150,0))),"")</f>
        <v/>
      </c>
    </row>
    <row r="15">
      <c r="A15" s="5" t="n">
        <v>14</v>
      </c>
      <c r="B15" s="5">
        <f>IFERROR(INDEX(Signale!$B$2:$B$150,MATCH("B-14",Signale!$J$2:$J$150,0)),"")</f>
        <v/>
      </c>
      <c r="C15" s="5">
        <f>IFERROR(INDEX(Signale!$A$2:$A$150,MATCH("B-14",Signale!$J$2:$J$150,0)),"")</f>
        <v/>
      </c>
      <c r="D15" s="5">
        <f>IFERROR(INDEX(Signale!$C$2:$C$150,MATCH("B-14",Signale!$J$2:$J$150,0)),"")</f>
        <v/>
      </c>
      <c r="E15" s="5">
        <f>IFERROR(INDEX(Signale!$E$2:$E$150,MATCH("B-14",Signale!$J$2:$J$150,0)),"")</f>
        <v/>
      </c>
      <c r="F15" s="5">
        <f>IFERROR(INDEX(Signale!$F$2:$F$150,MATCH("B-14",Signale!$J$2:$J$150,0)),"")</f>
        <v/>
      </c>
      <c r="G15" s="5">
        <f>IF(COUNTIF(Signale!$J$2:$J$150,"B-14")=0,"frei",IF(COUNTIF(Signale!$J$2:$J$150,"B-14")&gt;1,"DOPPELT","belegt"))</f>
        <v/>
      </c>
      <c r="H15" s="5">
        <f>IFERROR(IF(INDEX(Signale!$L$2:$L$150,MATCH("B-14",Signale!$J$2:$J$150,0))="","",INDEX(Signale!$L$2:$L$150,MATCH("B-14",Signale!$J$2:$J$150,0))),"")</f>
        <v/>
      </c>
      <c r="I15" s="5">
        <f>IFERROR(IF(INDEX(Signale!$M$2:$M$150,MATCH("B-14",Signale!$J$2:$J$150,0))="","",INDEX(Signale!$M$2:$M$150,MATCH("B-14",Signale!$J$2:$J$150,0))),"")</f>
        <v/>
      </c>
    </row>
    <row r="16">
      <c r="A16" s="5" t="n">
        <v>15</v>
      </c>
      <c r="B16" s="5">
        <f>IFERROR(INDEX(Signale!$B$2:$B$150,MATCH("B-15",Signale!$J$2:$J$150,0)),"")</f>
        <v/>
      </c>
      <c r="C16" s="5">
        <f>IFERROR(INDEX(Signale!$A$2:$A$150,MATCH("B-15",Signale!$J$2:$J$150,0)),"")</f>
        <v/>
      </c>
      <c r="D16" s="5">
        <f>IFERROR(INDEX(Signale!$C$2:$C$150,MATCH("B-15",Signale!$J$2:$J$150,0)),"")</f>
        <v/>
      </c>
      <c r="E16" s="5">
        <f>IFERROR(INDEX(Signale!$E$2:$E$150,MATCH("B-15",Signale!$J$2:$J$150,0)),"")</f>
        <v/>
      </c>
      <c r="F16" s="5">
        <f>IFERROR(INDEX(Signale!$F$2:$F$150,MATCH("B-15",Signale!$J$2:$J$150,0)),"")</f>
        <v/>
      </c>
      <c r="G16" s="5">
        <f>IF(COUNTIF(Signale!$J$2:$J$150,"B-15")=0,"frei",IF(COUNTIF(Signale!$J$2:$J$150,"B-15")&gt;1,"DOPPELT","belegt"))</f>
        <v/>
      </c>
      <c r="H16" s="5">
        <f>IFERROR(IF(INDEX(Signale!$L$2:$L$150,MATCH("B-15",Signale!$J$2:$J$150,0))="","",INDEX(Signale!$L$2:$L$150,MATCH("B-15",Signale!$J$2:$J$150,0))),"")</f>
        <v/>
      </c>
      <c r="I16" s="5">
        <f>IFERROR(IF(INDEX(Signale!$M$2:$M$150,MATCH("B-15",Signale!$J$2:$J$150,0))="","",INDEX(Signale!$M$2:$M$150,MATCH("B-15",Signale!$J$2:$J$150,0))),"")</f>
        <v/>
      </c>
    </row>
    <row r="17">
      <c r="A17" s="5" t="n">
        <v>16</v>
      </c>
      <c r="B17" s="5">
        <f>IFERROR(INDEX(Signale!$B$2:$B$150,MATCH("B-16",Signale!$J$2:$J$150,0)),"")</f>
        <v/>
      </c>
      <c r="C17" s="5">
        <f>IFERROR(INDEX(Signale!$A$2:$A$150,MATCH("B-16",Signale!$J$2:$J$150,0)),"")</f>
        <v/>
      </c>
      <c r="D17" s="5">
        <f>IFERROR(INDEX(Signale!$C$2:$C$150,MATCH("B-16",Signale!$J$2:$J$150,0)),"")</f>
        <v/>
      </c>
      <c r="E17" s="5">
        <f>IFERROR(INDEX(Signale!$E$2:$E$150,MATCH("B-16",Signale!$J$2:$J$150,0)),"")</f>
        <v/>
      </c>
      <c r="F17" s="5">
        <f>IFERROR(INDEX(Signale!$F$2:$F$150,MATCH("B-16",Signale!$J$2:$J$150,0)),"")</f>
        <v/>
      </c>
      <c r="G17" s="5">
        <f>IF(COUNTIF(Signale!$J$2:$J$150,"B-16")=0,"frei",IF(COUNTIF(Signale!$J$2:$J$150,"B-16")&gt;1,"DOPPELT","belegt"))</f>
        <v/>
      </c>
      <c r="H17" s="5">
        <f>IFERROR(IF(INDEX(Signale!$L$2:$L$150,MATCH("B-16",Signale!$J$2:$J$150,0))="","",INDEX(Signale!$L$2:$L$150,MATCH("B-16",Signale!$J$2:$J$150,0))),"")</f>
        <v/>
      </c>
      <c r="I17" s="5">
        <f>IFERROR(IF(INDEX(Signale!$M$2:$M$150,MATCH("B-16",Signale!$J$2:$J$150,0))="","",INDEX(Signale!$M$2:$M$150,MATCH("B-16",Signale!$J$2:$J$150,0))),"")</f>
        <v/>
      </c>
    </row>
    <row r="18">
      <c r="A18" s="5" t="n">
        <v>17</v>
      </c>
      <c r="B18" s="5">
        <f>IFERROR(INDEX(Signale!$B$2:$B$150,MATCH("B-17",Signale!$J$2:$J$150,0)),"")</f>
        <v/>
      </c>
      <c r="C18" s="5">
        <f>IFERROR(INDEX(Signale!$A$2:$A$150,MATCH("B-17",Signale!$J$2:$J$150,0)),"")</f>
        <v/>
      </c>
      <c r="D18" s="5">
        <f>IFERROR(INDEX(Signale!$C$2:$C$150,MATCH("B-17",Signale!$J$2:$J$150,0)),"")</f>
        <v/>
      </c>
      <c r="E18" s="5">
        <f>IFERROR(INDEX(Signale!$E$2:$E$150,MATCH("B-17",Signale!$J$2:$J$150,0)),"")</f>
        <v/>
      </c>
      <c r="F18" s="5">
        <f>IFERROR(INDEX(Signale!$F$2:$F$150,MATCH("B-17",Signale!$J$2:$J$150,0)),"")</f>
        <v/>
      </c>
      <c r="G18" s="5">
        <f>IF(COUNTIF(Signale!$J$2:$J$150,"B-17")=0,"frei",IF(COUNTIF(Signale!$J$2:$J$150,"B-17")&gt;1,"DOPPELT","belegt"))</f>
        <v/>
      </c>
      <c r="H18" s="5">
        <f>IFERROR(IF(INDEX(Signale!$L$2:$L$150,MATCH("B-17",Signale!$J$2:$J$150,0))="","",INDEX(Signale!$L$2:$L$150,MATCH("B-17",Signale!$J$2:$J$150,0))),"")</f>
        <v/>
      </c>
      <c r="I18" s="5">
        <f>IFERROR(IF(INDEX(Signale!$M$2:$M$150,MATCH("B-17",Signale!$J$2:$J$150,0))="","",INDEX(Signale!$M$2:$M$150,MATCH("B-17",Signale!$J$2:$J$150,0))),"")</f>
        <v/>
      </c>
    </row>
    <row r="19">
      <c r="A19" s="5" t="n">
        <v>18</v>
      </c>
      <c r="B19" s="5">
        <f>IFERROR(INDEX(Signale!$B$2:$B$150,MATCH("B-18",Signale!$J$2:$J$150,0)),"")</f>
        <v/>
      </c>
      <c r="C19" s="5">
        <f>IFERROR(INDEX(Signale!$A$2:$A$150,MATCH("B-18",Signale!$J$2:$J$150,0)),"")</f>
        <v/>
      </c>
      <c r="D19" s="5">
        <f>IFERROR(INDEX(Signale!$C$2:$C$150,MATCH("B-18",Signale!$J$2:$J$150,0)),"")</f>
        <v/>
      </c>
      <c r="E19" s="5">
        <f>IFERROR(INDEX(Signale!$E$2:$E$150,MATCH("B-18",Signale!$J$2:$J$150,0)),"")</f>
        <v/>
      </c>
      <c r="F19" s="5">
        <f>IFERROR(INDEX(Signale!$F$2:$F$150,MATCH("B-18",Signale!$J$2:$J$150,0)),"")</f>
        <v/>
      </c>
      <c r="G19" s="5">
        <f>IF(COUNTIF(Signale!$J$2:$J$150,"B-18")=0,"frei",IF(COUNTIF(Signale!$J$2:$J$150,"B-18")&gt;1,"DOPPELT","belegt"))</f>
        <v/>
      </c>
      <c r="H19" s="5">
        <f>IFERROR(IF(INDEX(Signale!$L$2:$L$150,MATCH("B-18",Signale!$J$2:$J$150,0))="","",INDEX(Signale!$L$2:$L$150,MATCH("B-18",Signale!$J$2:$J$150,0))),"")</f>
        <v/>
      </c>
      <c r="I19" s="5">
        <f>IFERROR(IF(INDEX(Signale!$M$2:$M$150,MATCH("B-18",Signale!$J$2:$J$150,0))="","",INDEX(Signale!$M$2:$M$150,MATCH("B-18",Signale!$J$2:$J$150,0))),"")</f>
        <v/>
      </c>
    </row>
    <row r="20">
      <c r="A20" s="5" t="n">
        <v>19</v>
      </c>
      <c r="B20" s="5">
        <f>IFERROR(INDEX(Signale!$B$2:$B$150,MATCH("B-19",Signale!$J$2:$J$150,0)),"")</f>
        <v/>
      </c>
      <c r="C20" s="5">
        <f>IFERROR(INDEX(Signale!$A$2:$A$150,MATCH("B-19",Signale!$J$2:$J$150,0)),"")</f>
        <v/>
      </c>
      <c r="D20" s="5">
        <f>IFERROR(INDEX(Signale!$C$2:$C$150,MATCH("B-19",Signale!$J$2:$J$150,0)),"")</f>
        <v/>
      </c>
      <c r="E20" s="5">
        <f>IFERROR(INDEX(Signale!$E$2:$E$150,MATCH("B-19",Signale!$J$2:$J$150,0)),"")</f>
        <v/>
      </c>
      <c r="F20" s="5">
        <f>IFERROR(INDEX(Signale!$F$2:$F$150,MATCH("B-19",Signale!$J$2:$J$150,0)),"")</f>
        <v/>
      </c>
      <c r="G20" s="5">
        <f>IF(COUNTIF(Signale!$J$2:$J$150,"B-19")=0,"frei",IF(COUNTIF(Signale!$J$2:$J$150,"B-19")&gt;1,"DOPPELT","belegt"))</f>
        <v/>
      </c>
      <c r="H20" s="5">
        <f>IFERROR(IF(INDEX(Signale!$L$2:$L$150,MATCH("B-19",Signale!$J$2:$J$150,0))="","",INDEX(Signale!$L$2:$L$150,MATCH("B-19",Signale!$J$2:$J$150,0))),"")</f>
        <v/>
      </c>
      <c r="I20" s="5">
        <f>IFERROR(IF(INDEX(Signale!$M$2:$M$150,MATCH("B-19",Signale!$J$2:$J$150,0))="","",INDEX(Signale!$M$2:$M$150,MATCH("B-19",Signale!$J$2:$J$150,0))),"")</f>
        <v/>
      </c>
    </row>
    <row r="21">
      <c r="A21" s="5" t="n">
        <v>20</v>
      </c>
      <c r="B21" s="5">
        <f>IFERROR(INDEX(Signale!$B$2:$B$150,MATCH("B-20",Signale!$J$2:$J$150,0)),"")</f>
        <v/>
      </c>
      <c r="C21" s="5">
        <f>IFERROR(INDEX(Signale!$A$2:$A$150,MATCH("B-20",Signale!$J$2:$J$150,0)),"")</f>
        <v/>
      </c>
      <c r="D21" s="5">
        <f>IFERROR(INDEX(Signale!$C$2:$C$150,MATCH("B-20",Signale!$J$2:$J$150,0)),"")</f>
        <v/>
      </c>
      <c r="E21" s="5">
        <f>IFERROR(INDEX(Signale!$E$2:$E$150,MATCH("B-20",Signale!$J$2:$J$150,0)),"")</f>
        <v/>
      </c>
      <c r="F21" s="5">
        <f>IFERROR(INDEX(Signale!$F$2:$F$150,MATCH("B-20",Signale!$J$2:$J$150,0)),"")</f>
        <v/>
      </c>
      <c r="G21" s="5">
        <f>IF(COUNTIF(Signale!$J$2:$J$150,"B-20")=0,"frei",IF(COUNTIF(Signale!$J$2:$J$150,"B-20")&gt;1,"DOPPELT","belegt"))</f>
        <v/>
      </c>
      <c r="H21" s="5">
        <f>IFERROR(IF(INDEX(Signale!$L$2:$L$150,MATCH("B-20",Signale!$J$2:$J$150,0))="","",INDEX(Signale!$L$2:$L$150,MATCH("B-20",Signale!$J$2:$J$150,0))),"")</f>
        <v/>
      </c>
      <c r="I21" s="5">
        <f>IFERROR(IF(INDEX(Signale!$M$2:$M$150,MATCH("B-20",Signale!$J$2:$J$150,0))="","",INDEX(Signale!$M$2:$M$150,MATCH("B-20",Signale!$J$2:$J$150,0))),"")</f>
        <v/>
      </c>
    </row>
    <row r="22">
      <c r="A22" s="5" t="n">
        <v>21</v>
      </c>
      <c r="B22" s="5">
        <f>IFERROR(INDEX(Signale!$B$2:$B$150,MATCH("B-21",Signale!$J$2:$J$150,0)),"")</f>
        <v/>
      </c>
      <c r="C22" s="5">
        <f>IFERROR(INDEX(Signale!$A$2:$A$150,MATCH("B-21",Signale!$J$2:$J$150,0)),"")</f>
        <v/>
      </c>
      <c r="D22" s="5">
        <f>IFERROR(INDEX(Signale!$C$2:$C$150,MATCH("B-21",Signale!$J$2:$J$150,0)),"")</f>
        <v/>
      </c>
      <c r="E22" s="5">
        <f>IFERROR(INDEX(Signale!$E$2:$E$150,MATCH("B-21",Signale!$J$2:$J$150,0)),"")</f>
        <v/>
      </c>
      <c r="F22" s="5">
        <f>IFERROR(INDEX(Signale!$F$2:$F$150,MATCH("B-21",Signale!$J$2:$J$150,0)),"")</f>
        <v/>
      </c>
      <c r="G22" s="5">
        <f>IF(COUNTIF(Signale!$J$2:$J$150,"B-21")=0,"frei",IF(COUNTIF(Signale!$J$2:$J$150,"B-21")&gt;1,"DOPPELT","belegt"))</f>
        <v/>
      </c>
      <c r="H22" s="5">
        <f>IFERROR(IF(INDEX(Signale!$L$2:$L$150,MATCH("B-21",Signale!$J$2:$J$150,0))="","",INDEX(Signale!$L$2:$L$150,MATCH("B-21",Signale!$J$2:$J$150,0))),"")</f>
        <v/>
      </c>
      <c r="I22" s="5">
        <f>IFERROR(IF(INDEX(Signale!$M$2:$M$150,MATCH("B-21",Signale!$J$2:$J$150,0))="","",INDEX(Signale!$M$2:$M$150,MATCH("B-21",Signale!$J$2:$J$150,0))),"")</f>
        <v/>
      </c>
    </row>
    <row r="23">
      <c r="A23" s="5" t="n">
        <v>22</v>
      </c>
      <c r="B23" s="5">
        <f>IFERROR(INDEX(Signale!$B$2:$B$150,MATCH("B-22",Signale!$J$2:$J$150,0)),"")</f>
        <v/>
      </c>
      <c r="C23" s="5">
        <f>IFERROR(INDEX(Signale!$A$2:$A$150,MATCH("B-22",Signale!$J$2:$J$150,0)),"")</f>
        <v/>
      </c>
      <c r="D23" s="5">
        <f>IFERROR(INDEX(Signale!$C$2:$C$150,MATCH("B-22",Signale!$J$2:$J$150,0)),"")</f>
        <v/>
      </c>
      <c r="E23" s="5">
        <f>IFERROR(INDEX(Signale!$E$2:$E$150,MATCH("B-22",Signale!$J$2:$J$150,0)),"")</f>
        <v/>
      </c>
      <c r="F23" s="5">
        <f>IFERROR(INDEX(Signale!$F$2:$F$150,MATCH("B-22",Signale!$J$2:$J$150,0)),"")</f>
        <v/>
      </c>
      <c r="G23" s="5">
        <f>IF(COUNTIF(Signale!$J$2:$J$150,"B-22")=0,"frei",IF(COUNTIF(Signale!$J$2:$J$150,"B-22")&gt;1,"DOPPELT","belegt"))</f>
        <v/>
      </c>
      <c r="H23" s="5">
        <f>IFERROR(IF(INDEX(Signale!$L$2:$L$150,MATCH("B-22",Signale!$J$2:$J$150,0))="","",INDEX(Signale!$L$2:$L$150,MATCH("B-22",Signale!$J$2:$J$150,0))),"")</f>
        <v/>
      </c>
      <c r="I23" s="5">
        <f>IFERROR(IF(INDEX(Signale!$M$2:$M$150,MATCH("B-22",Signale!$J$2:$J$150,0))="","",INDEX(Signale!$M$2:$M$150,MATCH("B-22",Signale!$J$2:$J$150,0))),"")</f>
        <v/>
      </c>
    </row>
    <row r="24">
      <c r="A24" s="5" t="n">
        <v>23</v>
      </c>
      <c r="B24" s="5">
        <f>IFERROR(INDEX(Signale!$B$2:$B$150,MATCH("B-23",Signale!$J$2:$J$150,0)),"")</f>
        <v/>
      </c>
      <c r="C24" s="5">
        <f>IFERROR(INDEX(Signale!$A$2:$A$150,MATCH("B-23",Signale!$J$2:$J$150,0)),"")</f>
        <v/>
      </c>
      <c r="D24" s="5">
        <f>IFERROR(INDEX(Signale!$C$2:$C$150,MATCH("B-23",Signale!$J$2:$J$150,0)),"")</f>
        <v/>
      </c>
      <c r="E24" s="5">
        <f>IFERROR(INDEX(Signale!$E$2:$E$150,MATCH("B-23",Signale!$J$2:$J$150,0)),"")</f>
        <v/>
      </c>
      <c r="F24" s="5">
        <f>IFERROR(INDEX(Signale!$F$2:$F$150,MATCH("B-23",Signale!$J$2:$J$150,0)),"")</f>
        <v/>
      </c>
      <c r="G24" s="5">
        <f>IF(COUNTIF(Signale!$J$2:$J$150,"B-23")=0,"frei",IF(COUNTIF(Signale!$J$2:$J$150,"B-23")&gt;1,"DOPPELT","belegt"))</f>
        <v/>
      </c>
      <c r="H24" s="5">
        <f>IFERROR(IF(INDEX(Signale!$L$2:$L$150,MATCH("B-23",Signale!$J$2:$J$150,0))="","",INDEX(Signale!$L$2:$L$150,MATCH("B-23",Signale!$J$2:$J$150,0))),"")</f>
        <v/>
      </c>
      <c r="I24" s="5">
        <f>IFERROR(IF(INDEX(Signale!$M$2:$M$150,MATCH("B-23",Signale!$J$2:$J$150,0))="","",INDEX(Signale!$M$2:$M$150,MATCH("B-23",Signale!$J$2:$J$150,0))),"")</f>
        <v/>
      </c>
    </row>
    <row r="25">
      <c r="A25" s="5" t="n">
        <v>24</v>
      </c>
      <c r="B25" s="5">
        <f>IFERROR(INDEX(Signale!$B$2:$B$150,MATCH("B-24",Signale!$J$2:$J$150,0)),"")</f>
        <v/>
      </c>
      <c r="C25" s="5">
        <f>IFERROR(INDEX(Signale!$A$2:$A$150,MATCH("B-24",Signale!$J$2:$J$150,0)),"")</f>
        <v/>
      </c>
      <c r="D25" s="5">
        <f>IFERROR(INDEX(Signale!$C$2:$C$150,MATCH("B-24",Signale!$J$2:$J$150,0)),"")</f>
        <v/>
      </c>
      <c r="E25" s="5">
        <f>IFERROR(INDEX(Signale!$E$2:$E$150,MATCH("B-24",Signale!$J$2:$J$150,0)),"")</f>
        <v/>
      </c>
      <c r="F25" s="5">
        <f>IFERROR(INDEX(Signale!$F$2:$F$150,MATCH("B-24",Signale!$J$2:$J$150,0)),"")</f>
        <v/>
      </c>
      <c r="G25" s="5">
        <f>IF(COUNTIF(Signale!$J$2:$J$150,"B-24")=0,"frei",IF(COUNTIF(Signale!$J$2:$J$150,"B-24")&gt;1,"DOPPELT","belegt"))</f>
        <v/>
      </c>
      <c r="H25" s="5">
        <f>IFERROR(IF(INDEX(Signale!$L$2:$L$150,MATCH("B-24",Signale!$J$2:$J$150,0))="","",INDEX(Signale!$L$2:$L$150,MATCH("B-24",Signale!$J$2:$J$150,0))),"")</f>
        <v/>
      </c>
      <c r="I25" s="5">
        <f>IFERROR(IF(INDEX(Signale!$M$2:$M$150,MATCH("B-24",Signale!$J$2:$J$150,0))="","",INDEX(Signale!$M$2:$M$150,MATCH("B-24",Signale!$J$2:$J$150,0))),"")</f>
        <v/>
      </c>
    </row>
    <row r="26">
      <c r="A26" s="5" t="n">
        <v>25</v>
      </c>
      <c r="B26" s="5">
        <f>IFERROR(INDEX(Signale!$B$2:$B$150,MATCH("B-25",Signale!$J$2:$J$150,0)),"")</f>
        <v/>
      </c>
      <c r="C26" s="5">
        <f>IFERROR(INDEX(Signale!$A$2:$A$150,MATCH("B-25",Signale!$J$2:$J$150,0)),"")</f>
        <v/>
      </c>
      <c r="D26" s="5">
        <f>IFERROR(INDEX(Signale!$C$2:$C$150,MATCH("B-25",Signale!$J$2:$J$150,0)),"")</f>
        <v/>
      </c>
      <c r="E26" s="5">
        <f>IFERROR(INDEX(Signale!$E$2:$E$150,MATCH("B-25",Signale!$J$2:$J$150,0)),"")</f>
        <v/>
      </c>
      <c r="F26" s="5">
        <f>IFERROR(INDEX(Signale!$F$2:$F$150,MATCH("B-25",Signale!$J$2:$J$150,0)),"")</f>
        <v/>
      </c>
      <c r="G26" s="5">
        <f>IF(COUNTIF(Signale!$J$2:$J$150,"B-25")=0,"frei",IF(COUNTIF(Signale!$J$2:$J$150,"B-25")&gt;1,"DOPPELT","belegt"))</f>
        <v/>
      </c>
      <c r="H26" s="5">
        <f>IFERROR(IF(INDEX(Signale!$L$2:$L$150,MATCH("B-25",Signale!$J$2:$J$150,0))="","",INDEX(Signale!$L$2:$L$150,MATCH("B-25",Signale!$J$2:$J$150,0))),"")</f>
        <v/>
      </c>
      <c r="I26" s="5">
        <f>IFERROR(IF(INDEX(Signale!$M$2:$M$150,MATCH("B-25",Signale!$J$2:$J$150,0))="","",INDEX(Signale!$M$2:$M$150,MATCH("B-25",Signale!$J$2:$J$150,0))),"")</f>
        <v/>
      </c>
    </row>
    <row r="27">
      <c r="A27" s="5" t="n">
        <v>26</v>
      </c>
      <c r="B27" s="5">
        <f>IFERROR(INDEX(Signale!$B$2:$B$150,MATCH("B-26",Signale!$J$2:$J$150,0)),"")</f>
        <v/>
      </c>
      <c r="C27" s="5">
        <f>IFERROR(INDEX(Signale!$A$2:$A$150,MATCH("B-26",Signale!$J$2:$J$150,0)),"")</f>
        <v/>
      </c>
      <c r="D27" s="5">
        <f>IFERROR(INDEX(Signale!$C$2:$C$150,MATCH("B-26",Signale!$J$2:$J$150,0)),"")</f>
        <v/>
      </c>
      <c r="E27" s="5">
        <f>IFERROR(INDEX(Signale!$E$2:$E$150,MATCH("B-26",Signale!$J$2:$J$150,0)),"")</f>
        <v/>
      </c>
      <c r="F27" s="5">
        <f>IFERROR(INDEX(Signale!$F$2:$F$150,MATCH("B-26",Signale!$J$2:$J$150,0)),"")</f>
        <v/>
      </c>
      <c r="G27" s="5">
        <f>IF(COUNTIF(Signale!$J$2:$J$150,"B-26")=0,"frei",IF(COUNTIF(Signale!$J$2:$J$150,"B-26")&gt;1,"DOPPELT","belegt"))</f>
        <v/>
      </c>
      <c r="H27" s="5">
        <f>IFERROR(IF(INDEX(Signale!$L$2:$L$150,MATCH("B-26",Signale!$J$2:$J$150,0))="","",INDEX(Signale!$L$2:$L$150,MATCH("B-26",Signale!$J$2:$J$150,0))),"")</f>
        <v/>
      </c>
      <c r="I27" s="5">
        <f>IFERROR(IF(INDEX(Signale!$M$2:$M$150,MATCH("B-26",Signale!$J$2:$J$150,0))="","",INDEX(Signale!$M$2:$M$150,MATCH("B-26",Signale!$J$2:$J$150,0))),"")</f>
        <v/>
      </c>
    </row>
    <row r="28">
      <c r="A28" s="5" t="n">
        <v>27</v>
      </c>
      <c r="B28" s="5">
        <f>IFERROR(INDEX(Signale!$B$2:$B$150,MATCH("B-27",Signale!$J$2:$J$150,0)),"")</f>
        <v/>
      </c>
      <c r="C28" s="5">
        <f>IFERROR(INDEX(Signale!$A$2:$A$150,MATCH("B-27",Signale!$J$2:$J$150,0)),"")</f>
        <v/>
      </c>
      <c r="D28" s="5">
        <f>IFERROR(INDEX(Signale!$C$2:$C$150,MATCH("B-27",Signale!$J$2:$J$150,0)),"")</f>
        <v/>
      </c>
      <c r="E28" s="5">
        <f>IFERROR(INDEX(Signale!$E$2:$E$150,MATCH("B-27",Signale!$J$2:$J$150,0)),"")</f>
        <v/>
      </c>
      <c r="F28" s="5">
        <f>IFERROR(INDEX(Signale!$F$2:$F$150,MATCH("B-27",Signale!$J$2:$J$150,0)),"")</f>
        <v/>
      </c>
      <c r="G28" s="5">
        <f>IF(COUNTIF(Signale!$J$2:$J$150,"B-27")=0,"frei",IF(COUNTIF(Signale!$J$2:$J$150,"B-27")&gt;1,"DOPPELT","belegt"))</f>
        <v/>
      </c>
      <c r="H28" s="5">
        <f>IFERROR(IF(INDEX(Signale!$L$2:$L$150,MATCH("B-27",Signale!$J$2:$J$150,0))="","",INDEX(Signale!$L$2:$L$150,MATCH("B-27",Signale!$J$2:$J$150,0))),"")</f>
        <v/>
      </c>
      <c r="I28" s="5">
        <f>IFERROR(IF(INDEX(Signale!$M$2:$M$150,MATCH("B-27",Signale!$J$2:$J$150,0))="","",INDEX(Signale!$M$2:$M$150,MATCH("B-27",Signale!$J$2:$J$150,0))),"")</f>
        <v/>
      </c>
    </row>
    <row r="29">
      <c r="A29" s="5" t="n">
        <v>28</v>
      </c>
      <c r="B29" s="5">
        <f>IFERROR(INDEX(Signale!$B$2:$B$150,MATCH("B-28",Signale!$J$2:$J$150,0)),"")</f>
        <v/>
      </c>
      <c r="C29" s="5">
        <f>IFERROR(INDEX(Signale!$A$2:$A$150,MATCH("B-28",Signale!$J$2:$J$150,0)),"")</f>
        <v/>
      </c>
      <c r="D29" s="5">
        <f>IFERROR(INDEX(Signale!$C$2:$C$150,MATCH("B-28",Signale!$J$2:$J$150,0)),"")</f>
        <v/>
      </c>
      <c r="E29" s="5">
        <f>IFERROR(INDEX(Signale!$E$2:$E$150,MATCH("B-28",Signale!$J$2:$J$150,0)),"")</f>
        <v/>
      </c>
      <c r="F29" s="5">
        <f>IFERROR(INDEX(Signale!$F$2:$F$150,MATCH("B-28",Signale!$J$2:$J$150,0)),"")</f>
        <v/>
      </c>
      <c r="G29" s="5">
        <f>IF(COUNTIF(Signale!$J$2:$J$150,"B-28")=0,"frei",IF(COUNTIF(Signale!$J$2:$J$150,"B-28")&gt;1,"DOPPELT","belegt"))</f>
        <v/>
      </c>
      <c r="H29" s="5">
        <f>IFERROR(IF(INDEX(Signale!$L$2:$L$150,MATCH("B-28",Signale!$J$2:$J$150,0))="","",INDEX(Signale!$L$2:$L$150,MATCH("B-28",Signale!$J$2:$J$150,0))),"")</f>
        <v/>
      </c>
      <c r="I29" s="5">
        <f>IFERROR(IF(INDEX(Signale!$M$2:$M$150,MATCH("B-28",Signale!$J$2:$J$150,0))="","",INDEX(Signale!$M$2:$M$150,MATCH("B-28",Signale!$J$2:$J$150,0))),"")</f>
        <v/>
      </c>
    </row>
    <row r="30">
      <c r="A30" s="5" t="n">
        <v>29</v>
      </c>
      <c r="B30" s="5">
        <f>IFERROR(INDEX(Signale!$B$2:$B$150,MATCH("B-29",Signale!$J$2:$J$150,0)),"")</f>
        <v/>
      </c>
      <c r="C30" s="5">
        <f>IFERROR(INDEX(Signale!$A$2:$A$150,MATCH("B-29",Signale!$J$2:$J$150,0)),"")</f>
        <v/>
      </c>
      <c r="D30" s="5">
        <f>IFERROR(INDEX(Signale!$C$2:$C$150,MATCH("B-29",Signale!$J$2:$J$150,0)),"")</f>
        <v/>
      </c>
      <c r="E30" s="5">
        <f>IFERROR(INDEX(Signale!$E$2:$E$150,MATCH("B-29",Signale!$J$2:$J$150,0)),"")</f>
        <v/>
      </c>
      <c r="F30" s="5">
        <f>IFERROR(INDEX(Signale!$F$2:$F$150,MATCH("B-29",Signale!$J$2:$J$150,0)),"")</f>
        <v/>
      </c>
      <c r="G30" s="5">
        <f>IF(COUNTIF(Signale!$J$2:$J$150,"B-29")=0,"frei",IF(COUNTIF(Signale!$J$2:$J$150,"B-29")&gt;1,"DOPPELT","belegt"))</f>
        <v/>
      </c>
      <c r="H30" s="5">
        <f>IFERROR(IF(INDEX(Signale!$L$2:$L$150,MATCH("B-29",Signale!$J$2:$J$150,0))="","",INDEX(Signale!$L$2:$L$150,MATCH("B-29",Signale!$J$2:$J$150,0))),"")</f>
        <v/>
      </c>
      <c r="I30" s="5">
        <f>IFERROR(IF(INDEX(Signale!$M$2:$M$150,MATCH("B-29",Signale!$J$2:$J$150,0))="","",INDEX(Signale!$M$2:$M$150,MATCH("B-29",Signale!$J$2:$J$150,0))),"")</f>
        <v/>
      </c>
    </row>
    <row r="31">
      <c r="A31" s="5" t="n">
        <v>30</v>
      </c>
      <c r="B31" s="5">
        <f>IFERROR(INDEX(Signale!$B$2:$B$150,MATCH("B-30",Signale!$J$2:$J$150,0)),"")</f>
        <v/>
      </c>
      <c r="C31" s="5">
        <f>IFERROR(INDEX(Signale!$A$2:$A$150,MATCH("B-30",Signale!$J$2:$J$150,0)),"")</f>
        <v/>
      </c>
      <c r="D31" s="5">
        <f>IFERROR(INDEX(Signale!$C$2:$C$150,MATCH("B-30",Signale!$J$2:$J$150,0)),"")</f>
        <v/>
      </c>
      <c r="E31" s="5">
        <f>IFERROR(INDEX(Signale!$E$2:$E$150,MATCH("B-30",Signale!$J$2:$J$150,0)),"")</f>
        <v/>
      </c>
      <c r="F31" s="5">
        <f>IFERROR(INDEX(Signale!$F$2:$F$150,MATCH("B-30",Signale!$J$2:$J$150,0)),"")</f>
        <v/>
      </c>
      <c r="G31" s="5">
        <f>IF(COUNTIF(Signale!$J$2:$J$150,"B-30")=0,"frei",IF(COUNTIF(Signale!$J$2:$J$150,"B-30")&gt;1,"DOPPELT","belegt"))</f>
        <v/>
      </c>
      <c r="H31" s="5">
        <f>IFERROR(IF(INDEX(Signale!$L$2:$L$150,MATCH("B-30",Signale!$J$2:$J$150,0))="","",INDEX(Signale!$L$2:$L$150,MATCH("B-30",Signale!$J$2:$J$150,0))),"")</f>
        <v/>
      </c>
      <c r="I31" s="5">
        <f>IFERROR(IF(INDEX(Signale!$M$2:$M$150,MATCH("B-30",Signale!$J$2:$J$150,0))="","",INDEX(Signale!$M$2:$M$150,MATCH("B-30",Signale!$J$2:$J$150,0))),"")</f>
        <v/>
      </c>
    </row>
    <row r="32">
      <c r="A32" s="5" t="n">
        <v>31</v>
      </c>
      <c r="B32" s="5">
        <f>IFERROR(INDEX(Signale!$B$2:$B$150,MATCH("B-31",Signale!$J$2:$J$150,0)),"")</f>
        <v/>
      </c>
      <c r="C32" s="5">
        <f>IFERROR(INDEX(Signale!$A$2:$A$150,MATCH("B-31",Signale!$J$2:$J$150,0)),"")</f>
        <v/>
      </c>
      <c r="D32" s="5">
        <f>IFERROR(INDEX(Signale!$C$2:$C$150,MATCH("B-31",Signale!$J$2:$J$150,0)),"")</f>
        <v/>
      </c>
      <c r="E32" s="5">
        <f>IFERROR(INDEX(Signale!$E$2:$E$150,MATCH("B-31",Signale!$J$2:$J$150,0)),"")</f>
        <v/>
      </c>
      <c r="F32" s="5">
        <f>IFERROR(INDEX(Signale!$F$2:$F$150,MATCH("B-31",Signale!$J$2:$J$150,0)),"")</f>
        <v/>
      </c>
      <c r="G32" s="5">
        <f>IF(COUNTIF(Signale!$J$2:$J$150,"B-31")=0,"frei",IF(COUNTIF(Signale!$J$2:$J$150,"B-31")&gt;1,"DOPPELT","belegt"))</f>
        <v/>
      </c>
      <c r="H32" s="5">
        <f>IFERROR(IF(INDEX(Signale!$L$2:$L$150,MATCH("B-31",Signale!$J$2:$J$150,0))="","",INDEX(Signale!$L$2:$L$150,MATCH("B-31",Signale!$J$2:$J$150,0))),"")</f>
        <v/>
      </c>
      <c r="I32" s="5">
        <f>IFERROR(IF(INDEX(Signale!$M$2:$M$150,MATCH("B-31",Signale!$J$2:$J$150,0))="","",INDEX(Signale!$M$2:$M$150,MATCH("B-31",Signale!$J$2:$J$150,0))),"")</f>
        <v/>
      </c>
    </row>
    <row r="33">
      <c r="A33" s="5" t="n">
        <v>32</v>
      </c>
      <c r="B33" s="5">
        <f>IFERROR(INDEX(Signale!$B$2:$B$150,MATCH("B-32",Signale!$J$2:$J$150,0)),"")</f>
        <v/>
      </c>
      <c r="C33" s="5">
        <f>IFERROR(INDEX(Signale!$A$2:$A$150,MATCH("B-32",Signale!$J$2:$J$150,0)),"")</f>
        <v/>
      </c>
      <c r="D33" s="5">
        <f>IFERROR(INDEX(Signale!$C$2:$C$150,MATCH("B-32",Signale!$J$2:$J$150,0)),"")</f>
        <v/>
      </c>
      <c r="E33" s="5">
        <f>IFERROR(INDEX(Signale!$E$2:$E$150,MATCH("B-32",Signale!$J$2:$J$150,0)),"")</f>
        <v/>
      </c>
      <c r="F33" s="5">
        <f>IFERROR(INDEX(Signale!$F$2:$F$150,MATCH("B-32",Signale!$J$2:$J$150,0)),"")</f>
        <v/>
      </c>
      <c r="G33" s="5">
        <f>IF(COUNTIF(Signale!$J$2:$J$150,"B-32")=0,"frei",IF(COUNTIF(Signale!$J$2:$J$150,"B-32")&gt;1,"DOPPELT","belegt"))</f>
        <v/>
      </c>
      <c r="H33" s="5">
        <f>IFERROR(IF(INDEX(Signale!$L$2:$L$150,MATCH("B-32",Signale!$J$2:$J$150,0))="","",INDEX(Signale!$L$2:$L$150,MATCH("B-32",Signale!$J$2:$J$150,0))),"")</f>
        <v/>
      </c>
      <c r="I33" s="5">
        <f>IFERROR(IF(INDEX(Signale!$M$2:$M$150,MATCH("B-32",Signale!$J$2:$J$150,0))="","",INDEX(Signale!$M$2:$M$150,MATCH("B-32",Signale!$J$2:$J$150,0))),"")</f>
        <v/>
      </c>
    </row>
    <row r="34">
      <c r="A34" s="5" t="n">
        <v>33</v>
      </c>
      <c r="B34" s="5">
        <f>IFERROR(INDEX(Signale!$B$2:$B$150,MATCH("B-33",Signale!$J$2:$J$150,0)),"")</f>
        <v/>
      </c>
      <c r="C34" s="5">
        <f>IFERROR(INDEX(Signale!$A$2:$A$150,MATCH("B-33",Signale!$J$2:$J$150,0)),"")</f>
        <v/>
      </c>
      <c r="D34" s="5">
        <f>IFERROR(INDEX(Signale!$C$2:$C$150,MATCH("B-33",Signale!$J$2:$J$150,0)),"")</f>
        <v/>
      </c>
      <c r="E34" s="5">
        <f>IFERROR(INDEX(Signale!$E$2:$E$150,MATCH("B-33",Signale!$J$2:$J$150,0)),"")</f>
        <v/>
      </c>
      <c r="F34" s="5">
        <f>IFERROR(INDEX(Signale!$F$2:$F$150,MATCH("B-33",Signale!$J$2:$J$150,0)),"")</f>
        <v/>
      </c>
      <c r="G34" s="5">
        <f>IF(COUNTIF(Signale!$J$2:$J$150,"B-33")=0,"frei",IF(COUNTIF(Signale!$J$2:$J$150,"B-33")&gt;1,"DOPPELT","belegt"))</f>
        <v/>
      </c>
      <c r="H34" s="5">
        <f>IFERROR(IF(INDEX(Signale!$L$2:$L$150,MATCH("B-33",Signale!$J$2:$J$150,0))="","",INDEX(Signale!$L$2:$L$150,MATCH("B-33",Signale!$J$2:$J$150,0))),"")</f>
        <v/>
      </c>
      <c r="I34" s="5">
        <f>IFERROR(IF(INDEX(Signale!$M$2:$M$150,MATCH("B-33",Signale!$J$2:$J$150,0))="","",INDEX(Signale!$M$2:$M$150,MATCH("B-33",Signale!$J$2:$J$150,0))),"")</f>
        <v/>
      </c>
    </row>
    <row r="35">
      <c r="A35" s="5" t="n">
        <v>34</v>
      </c>
      <c r="B35" s="5">
        <f>IFERROR(INDEX(Signale!$B$2:$B$150,MATCH("B-34",Signale!$J$2:$J$150,0)),"")</f>
        <v/>
      </c>
      <c r="C35" s="5">
        <f>IFERROR(INDEX(Signale!$A$2:$A$150,MATCH("B-34",Signale!$J$2:$J$150,0)),"")</f>
        <v/>
      </c>
      <c r="D35" s="5">
        <f>IFERROR(INDEX(Signale!$C$2:$C$150,MATCH("B-34",Signale!$J$2:$J$150,0)),"")</f>
        <v/>
      </c>
      <c r="E35" s="5">
        <f>IFERROR(INDEX(Signale!$E$2:$E$150,MATCH("B-34",Signale!$J$2:$J$150,0)),"")</f>
        <v/>
      </c>
      <c r="F35" s="5">
        <f>IFERROR(INDEX(Signale!$F$2:$F$150,MATCH("B-34",Signale!$J$2:$J$150,0)),"")</f>
        <v/>
      </c>
      <c r="G35" s="5">
        <f>IF(COUNTIF(Signale!$J$2:$J$150,"B-34")=0,"frei",IF(COUNTIF(Signale!$J$2:$J$150,"B-34")&gt;1,"DOPPELT","belegt"))</f>
        <v/>
      </c>
      <c r="H35" s="5">
        <f>IFERROR(IF(INDEX(Signale!$L$2:$L$150,MATCH("B-34",Signale!$J$2:$J$150,0))="","",INDEX(Signale!$L$2:$L$150,MATCH("B-34",Signale!$J$2:$J$150,0))),"")</f>
        <v/>
      </c>
      <c r="I35" s="5">
        <f>IFERROR(IF(INDEX(Signale!$M$2:$M$150,MATCH("B-34",Signale!$J$2:$J$150,0))="","",INDEX(Signale!$M$2:$M$150,MATCH("B-34",Signale!$J$2:$J$150,0))),"")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14" t="inlineStr">
        <is>
          <t>Belegt</t>
        </is>
      </c>
      <c r="B37" s="9">
        <f>COUNTIF(G2:G35,"belegt")+COUNTIF(G2:G35,"DOPPELT")</f>
        <v/>
      </c>
      <c r="C37" s="9" t="n"/>
      <c r="D37" s="9" t="n"/>
      <c r="E37" s="9" t="n"/>
      <c r="F37" s="9" t="n"/>
      <c r="G37" s="9" t="n"/>
      <c r="H37" s="9" t="n"/>
      <c r="I37" s="9" t="n"/>
    </row>
    <row r="38">
      <c r="A38" s="14" t="inlineStr">
        <is>
          <t>Frei</t>
        </is>
      </c>
      <c r="B38" s="9">
        <f>COUNTIF(G2:G35,"frei")</f>
        <v/>
      </c>
      <c r="C38" s="9" t="n"/>
      <c r="D38" s="9" t="n"/>
      <c r="E38" s="9" t="n"/>
      <c r="F38" s="9" t="n"/>
      <c r="G38" s="9" t="n"/>
      <c r="H38" s="9" t="n"/>
      <c r="I38" s="9" t="n"/>
    </row>
  </sheetData>
  <conditionalFormatting sqref="G2:G35">
    <cfRule type="cellIs" priority="1" operator="equal" dxfId="0">
      <formula>"DOPPELT"</formula>
    </cfRule>
    <cfRule type="cellIs" priority="2" operator="equal" dxfId="2">
      <formula>"frei"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8" customWidth="1" min="4" max="4"/>
    <col width="18" customWidth="1" min="5" max="5"/>
    <col width="10" customWidth="1" min="6" max="6"/>
    <col width="11" customWidth="1" min="7" max="7"/>
    <col width="14" customWidth="1" min="8" max="8"/>
    <col width="12" customWidth="1" min="9" max="9"/>
  </cols>
  <sheetData>
    <row r="1">
      <c r="A1" s="13" t="inlineStr">
        <is>
          <t>Pin</t>
        </is>
      </c>
      <c r="B1" s="13" t="inlineStr">
        <is>
          <t>Signal</t>
        </is>
      </c>
      <c r="C1" s="13" t="inlineStr">
        <is>
          <t>Gruppe</t>
        </is>
      </c>
      <c r="D1" s="13" t="inlineStr">
        <is>
          <t>Netz</t>
        </is>
      </c>
      <c r="E1" s="13" t="inlineStr">
        <is>
          <t>Typ</t>
        </is>
      </c>
      <c r="F1" s="13" t="inlineStr">
        <is>
          <t>Strom max</t>
        </is>
      </c>
      <c r="G1" s="13" t="inlineStr">
        <is>
          <t>Belegung</t>
        </is>
      </c>
      <c r="H1" s="13" t="inlineStr">
        <is>
          <t>Kabelfarbe</t>
        </is>
      </c>
      <c r="I1" s="13" t="inlineStr">
        <is>
          <t>Querschnitt mm²</t>
        </is>
      </c>
    </row>
    <row r="2">
      <c r="A2" s="5" t="n">
        <v>1</v>
      </c>
      <c r="B2" s="5">
        <f>IFERROR(INDEX(Signale!$B$2:$B$150,MATCH("EGT-1",Signale!$J$2:$J$150,0)),"")</f>
        <v/>
      </c>
      <c r="C2" s="5">
        <f>IFERROR(INDEX(Signale!$A$2:$A$150,MATCH("EGT-1",Signale!$J$2:$J$150,0)),"")</f>
        <v/>
      </c>
      <c r="D2" s="5">
        <f>IFERROR(INDEX(Signale!$C$2:$C$150,MATCH("EGT-1",Signale!$J$2:$J$150,0)),"")</f>
        <v/>
      </c>
      <c r="E2" s="5">
        <f>IFERROR(INDEX(Signale!$E$2:$E$150,MATCH("EGT-1",Signale!$J$2:$J$150,0)),"")</f>
        <v/>
      </c>
      <c r="F2" s="5">
        <f>IFERROR(INDEX(Signale!$F$2:$F$150,MATCH("EGT-1",Signale!$J$2:$J$150,0)),"")</f>
        <v/>
      </c>
      <c r="G2" s="5">
        <f>IF(COUNTIF(Signale!$J$2:$J$150,"EGT-1")=0,"frei",IF(COUNTIF(Signale!$J$2:$J$150,"EGT-1")&gt;1,"DOPPELT","belegt"))</f>
        <v/>
      </c>
      <c r="H2" s="5">
        <f>IFERROR(IF(INDEX(Signale!$L$2:$L$150,MATCH("EGT-1",Signale!$J$2:$J$150,0))="","",INDEX(Signale!$L$2:$L$150,MATCH("EGT-1",Signale!$J$2:$J$150,0))),"")</f>
        <v/>
      </c>
      <c r="I2" s="5">
        <f>IFERROR(IF(INDEX(Signale!$M$2:$M$150,MATCH("EGT-1",Signale!$J$2:$J$150,0))="","",INDEX(Signale!$M$2:$M$150,MATCH("EGT-1",Signale!$J$2:$J$150,0))),"")</f>
        <v/>
      </c>
    </row>
    <row r="3">
      <c r="A3" s="5" t="n">
        <v>2</v>
      </c>
      <c r="B3" s="5">
        <f>IFERROR(INDEX(Signale!$B$2:$B$150,MATCH("EGT-2",Signale!$J$2:$J$150,0)),"")</f>
        <v/>
      </c>
      <c r="C3" s="5">
        <f>IFERROR(INDEX(Signale!$A$2:$A$150,MATCH("EGT-2",Signale!$J$2:$J$150,0)),"")</f>
        <v/>
      </c>
      <c r="D3" s="5">
        <f>IFERROR(INDEX(Signale!$C$2:$C$150,MATCH("EGT-2",Signale!$J$2:$J$150,0)),"")</f>
        <v/>
      </c>
      <c r="E3" s="5">
        <f>IFERROR(INDEX(Signale!$E$2:$E$150,MATCH("EGT-2",Signale!$J$2:$J$150,0)),"")</f>
        <v/>
      </c>
      <c r="F3" s="5">
        <f>IFERROR(INDEX(Signale!$F$2:$F$150,MATCH("EGT-2",Signale!$J$2:$J$150,0)),"")</f>
        <v/>
      </c>
      <c r="G3" s="5">
        <f>IF(COUNTIF(Signale!$J$2:$J$150,"EGT-2")=0,"frei",IF(COUNTIF(Signale!$J$2:$J$150,"EGT-2")&gt;1,"DOPPELT","belegt"))</f>
        <v/>
      </c>
      <c r="H3" s="5">
        <f>IFERROR(IF(INDEX(Signale!$L$2:$L$150,MATCH("EGT-2",Signale!$J$2:$J$150,0))="","",INDEX(Signale!$L$2:$L$150,MATCH("EGT-2",Signale!$J$2:$J$150,0))),"")</f>
        <v/>
      </c>
      <c r="I3" s="5">
        <f>IFERROR(IF(INDEX(Signale!$M$2:$M$150,MATCH("EGT-2",Signale!$J$2:$J$150,0))="","",INDEX(Signale!$M$2:$M$150,MATCH("EGT-2",Signale!$J$2:$J$150,0))),"")</f>
        <v/>
      </c>
    </row>
    <row r="4">
      <c r="A4" s="5" t="n">
        <v>3</v>
      </c>
      <c r="B4" s="5">
        <f>IFERROR(INDEX(Signale!$B$2:$B$150,MATCH("EGT-3",Signale!$J$2:$J$150,0)),"")</f>
        <v/>
      </c>
      <c r="C4" s="5">
        <f>IFERROR(INDEX(Signale!$A$2:$A$150,MATCH("EGT-3",Signale!$J$2:$J$150,0)),"")</f>
        <v/>
      </c>
      <c r="D4" s="5">
        <f>IFERROR(INDEX(Signale!$C$2:$C$150,MATCH("EGT-3",Signale!$J$2:$J$150,0)),"")</f>
        <v/>
      </c>
      <c r="E4" s="5">
        <f>IFERROR(INDEX(Signale!$E$2:$E$150,MATCH("EGT-3",Signale!$J$2:$J$150,0)),"")</f>
        <v/>
      </c>
      <c r="F4" s="5">
        <f>IFERROR(INDEX(Signale!$F$2:$F$150,MATCH("EGT-3",Signale!$J$2:$J$150,0)),"")</f>
        <v/>
      </c>
      <c r="G4" s="5">
        <f>IF(COUNTIF(Signale!$J$2:$J$150,"EGT-3")=0,"frei",IF(COUNTIF(Signale!$J$2:$J$150,"EGT-3")&gt;1,"DOPPELT","belegt"))</f>
        <v/>
      </c>
      <c r="H4" s="5">
        <f>IFERROR(IF(INDEX(Signale!$L$2:$L$150,MATCH("EGT-3",Signale!$J$2:$J$150,0))="","",INDEX(Signale!$L$2:$L$150,MATCH("EGT-3",Signale!$J$2:$J$150,0))),"")</f>
        <v/>
      </c>
      <c r="I4" s="5">
        <f>IFERROR(IF(INDEX(Signale!$M$2:$M$150,MATCH("EGT-3",Signale!$J$2:$J$150,0))="","",INDEX(Signale!$M$2:$M$150,MATCH("EGT-3",Signale!$J$2:$J$150,0))),"")</f>
        <v/>
      </c>
    </row>
    <row r="5">
      <c r="A5" s="5" t="n">
        <v>4</v>
      </c>
      <c r="B5" s="5">
        <f>IFERROR(INDEX(Signale!$B$2:$B$150,MATCH("EGT-4",Signale!$J$2:$J$150,0)),"")</f>
        <v/>
      </c>
      <c r="C5" s="5">
        <f>IFERROR(INDEX(Signale!$A$2:$A$150,MATCH("EGT-4",Signale!$J$2:$J$150,0)),"")</f>
        <v/>
      </c>
      <c r="D5" s="5">
        <f>IFERROR(INDEX(Signale!$C$2:$C$150,MATCH("EGT-4",Signale!$J$2:$J$150,0)),"")</f>
        <v/>
      </c>
      <c r="E5" s="5">
        <f>IFERROR(INDEX(Signale!$E$2:$E$150,MATCH("EGT-4",Signale!$J$2:$J$150,0)),"")</f>
        <v/>
      </c>
      <c r="F5" s="5">
        <f>IFERROR(INDEX(Signale!$F$2:$F$150,MATCH("EGT-4",Signale!$J$2:$J$150,0)),"")</f>
        <v/>
      </c>
      <c r="G5" s="5">
        <f>IF(COUNTIF(Signale!$J$2:$J$150,"EGT-4")=0,"frei",IF(COUNTIF(Signale!$J$2:$J$150,"EGT-4")&gt;1,"DOPPELT","belegt"))</f>
        <v/>
      </c>
      <c r="H5" s="5">
        <f>IFERROR(IF(INDEX(Signale!$L$2:$L$150,MATCH("EGT-4",Signale!$J$2:$J$150,0))="","",INDEX(Signale!$L$2:$L$150,MATCH("EGT-4",Signale!$J$2:$J$150,0))),"")</f>
        <v/>
      </c>
      <c r="I5" s="5">
        <f>IFERROR(IF(INDEX(Signale!$M$2:$M$150,MATCH("EGT-4",Signale!$J$2:$J$150,0))="","",INDEX(Signale!$M$2:$M$150,MATCH("EGT-4",Signale!$J$2:$J$150,0))),"")</f>
        <v/>
      </c>
    </row>
    <row r="6">
      <c r="A6" s="5" t="n">
        <v>5</v>
      </c>
      <c r="B6" s="5">
        <f>IFERROR(INDEX(Signale!$B$2:$B$150,MATCH("EGT-5",Signale!$J$2:$J$150,0)),"")</f>
        <v/>
      </c>
      <c r="C6" s="5">
        <f>IFERROR(INDEX(Signale!$A$2:$A$150,MATCH("EGT-5",Signale!$J$2:$J$150,0)),"")</f>
        <v/>
      </c>
      <c r="D6" s="5">
        <f>IFERROR(INDEX(Signale!$C$2:$C$150,MATCH("EGT-5",Signale!$J$2:$J$150,0)),"")</f>
        <v/>
      </c>
      <c r="E6" s="5">
        <f>IFERROR(INDEX(Signale!$E$2:$E$150,MATCH("EGT-5",Signale!$J$2:$J$150,0)),"")</f>
        <v/>
      </c>
      <c r="F6" s="5">
        <f>IFERROR(INDEX(Signale!$F$2:$F$150,MATCH("EGT-5",Signale!$J$2:$J$150,0)),"")</f>
        <v/>
      </c>
      <c r="G6" s="5">
        <f>IF(COUNTIF(Signale!$J$2:$J$150,"EGT-5")=0,"frei",IF(COUNTIF(Signale!$J$2:$J$150,"EGT-5")&gt;1,"DOPPELT","belegt"))</f>
        <v/>
      </c>
      <c r="H6" s="5">
        <f>IFERROR(IF(INDEX(Signale!$L$2:$L$150,MATCH("EGT-5",Signale!$J$2:$J$150,0))="","",INDEX(Signale!$L$2:$L$150,MATCH("EGT-5",Signale!$J$2:$J$150,0))),"")</f>
        <v/>
      </c>
      <c r="I6" s="5">
        <f>IFERROR(IF(INDEX(Signale!$M$2:$M$150,MATCH("EGT-5",Signale!$J$2:$J$150,0))="","",INDEX(Signale!$M$2:$M$150,MATCH("EGT-5",Signale!$J$2:$J$150,0))),"")</f>
        <v/>
      </c>
    </row>
    <row r="7">
      <c r="A7" s="5" t="n">
        <v>6</v>
      </c>
      <c r="B7" s="5">
        <f>IFERROR(INDEX(Signale!$B$2:$B$150,MATCH("EGT-6",Signale!$J$2:$J$150,0)),"")</f>
        <v/>
      </c>
      <c r="C7" s="5">
        <f>IFERROR(INDEX(Signale!$A$2:$A$150,MATCH("EGT-6",Signale!$J$2:$J$150,0)),"")</f>
        <v/>
      </c>
      <c r="D7" s="5">
        <f>IFERROR(INDEX(Signale!$C$2:$C$150,MATCH("EGT-6",Signale!$J$2:$J$150,0)),"")</f>
        <v/>
      </c>
      <c r="E7" s="5">
        <f>IFERROR(INDEX(Signale!$E$2:$E$150,MATCH("EGT-6",Signale!$J$2:$J$150,0)),"")</f>
        <v/>
      </c>
      <c r="F7" s="5">
        <f>IFERROR(INDEX(Signale!$F$2:$F$150,MATCH("EGT-6",Signale!$J$2:$J$150,0)),"")</f>
        <v/>
      </c>
      <c r="G7" s="5">
        <f>IF(COUNTIF(Signale!$J$2:$J$150,"EGT-6")=0,"frei",IF(COUNTIF(Signale!$J$2:$J$150,"EGT-6")&gt;1,"DOPPELT","belegt"))</f>
        <v/>
      </c>
      <c r="H7" s="5">
        <f>IFERROR(IF(INDEX(Signale!$L$2:$L$150,MATCH("EGT-6",Signale!$J$2:$J$150,0))="","",INDEX(Signale!$L$2:$L$150,MATCH("EGT-6",Signale!$J$2:$J$150,0))),"")</f>
        <v/>
      </c>
      <c r="I7" s="5">
        <f>IFERROR(IF(INDEX(Signale!$M$2:$M$150,MATCH("EGT-6",Signale!$J$2:$J$150,0))="","",INDEX(Signale!$M$2:$M$150,MATCH("EGT-6",Signale!$J$2:$J$150,0))),"")</f>
        <v/>
      </c>
    </row>
    <row r="8">
      <c r="A8" s="5" t="n">
        <v>7</v>
      </c>
      <c r="B8" s="5">
        <f>IFERROR(INDEX(Signale!$B$2:$B$150,MATCH("EGT-7",Signale!$J$2:$J$150,0)),"")</f>
        <v/>
      </c>
      <c r="C8" s="5">
        <f>IFERROR(INDEX(Signale!$A$2:$A$150,MATCH("EGT-7",Signale!$J$2:$J$150,0)),"")</f>
        <v/>
      </c>
      <c r="D8" s="5">
        <f>IFERROR(INDEX(Signale!$C$2:$C$150,MATCH("EGT-7",Signale!$J$2:$J$150,0)),"")</f>
        <v/>
      </c>
      <c r="E8" s="5">
        <f>IFERROR(INDEX(Signale!$E$2:$E$150,MATCH("EGT-7",Signale!$J$2:$J$150,0)),"")</f>
        <v/>
      </c>
      <c r="F8" s="5">
        <f>IFERROR(INDEX(Signale!$F$2:$F$150,MATCH("EGT-7",Signale!$J$2:$J$150,0)),"")</f>
        <v/>
      </c>
      <c r="G8" s="5">
        <f>IF(COUNTIF(Signale!$J$2:$J$150,"EGT-7")=0,"frei",IF(COUNTIF(Signale!$J$2:$J$150,"EGT-7")&gt;1,"DOPPELT","belegt"))</f>
        <v/>
      </c>
      <c r="H8" s="5">
        <f>IFERROR(IF(INDEX(Signale!$L$2:$L$150,MATCH("EGT-7",Signale!$J$2:$J$150,0))="","",INDEX(Signale!$L$2:$L$150,MATCH("EGT-7",Signale!$J$2:$J$150,0))),"")</f>
        <v/>
      </c>
      <c r="I8" s="5">
        <f>IFERROR(IF(INDEX(Signale!$M$2:$M$150,MATCH("EGT-7",Signale!$J$2:$J$150,0))="","",INDEX(Signale!$M$2:$M$150,MATCH("EGT-7",Signale!$J$2:$J$150,0))),"")</f>
        <v/>
      </c>
    </row>
    <row r="9">
      <c r="A9" s="5" t="n">
        <v>8</v>
      </c>
      <c r="B9" s="5">
        <f>IFERROR(INDEX(Signale!$B$2:$B$150,MATCH("EGT-8",Signale!$J$2:$J$150,0)),"")</f>
        <v/>
      </c>
      <c r="C9" s="5">
        <f>IFERROR(INDEX(Signale!$A$2:$A$150,MATCH("EGT-8",Signale!$J$2:$J$150,0)),"")</f>
        <v/>
      </c>
      <c r="D9" s="5">
        <f>IFERROR(INDEX(Signale!$C$2:$C$150,MATCH("EGT-8",Signale!$J$2:$J$150,0)),"")</f>
        <v/>
      </c>
      <c r="E9" s="5">
        <f>IFERROR(INDEX(Signale!$E$2:$E$150,MATCH("EGT-8",Signale!$J$2:$J$150,0)),"")</f>
        <v/>
      </c>
      <c r="F9" s="5">
        <f>IFERROR(INDEX(Signale!$F$2:$F$150,MATCH("EGT-8",Signale!$J$2:$J$150,0)),"")</f>
        <v/>
      </c>
      <c r="G9" s="5">
        <f>IF(COUNTIF(Signale!$J$2:$J$150,"EGT-8")=0,"frei",IF(COUNTIF(Signale!$J$2:$J$150,"EGT-8")&gt;1,"DOPPELT","belegt"))</f>
        <v/>
      </c>
      <c r="H9" s="5">
        <f>IFERROR(IF(INDEX(Signale!$L$2:$L$150,MATCH("EGT-8",Signale!$J$2:$J$150,0))="","",INDEX(Signale!$L$2:$L$150,MATCH("EGT-8",Signale!$J$2:$J$150,0))),"")</f>
        <v/>
      </c>
      <c r="I9" s="5">
        <f>IFERROR(IF(INDEX(Signale!$M$2:$M$150,MATCH("EGT-8",Signale!$J$2:$J$150,0))="","",INDEX(Signale!$M$2:$M$150,MATCH("EGT-8",Signale!$J$2:$J$150,0))),"")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14" t="inlineStr">
        <is>
          <t>Belegt</t>
        </is>
      </c>
      <c r="B11" s="9">
        <f>COUNTIF(G2:G9,"belegt")+COUNTIF(G2:G9,"DOPPELT")</f>
        <v/>
      </c>
      <c r="C11" s="9" t="n"/>
      <c r="D11" s="9" t="n"/>
      <c r="E11" s="9" t="n"/>
      <c r="F11" s="9" t="n"/>
      <c r="G11" s="9" t="n"/>
      <c r="H11" s="9" t="n"/>
      <c r="I11" s="9" t="n"/>
    </row>
    <row r="12">
      <c r="A12" s="14" t="inlineStr">
        <is>
          <t>Frei</t>
        </is>
      </c>
      <c r="B12" s="9">
        <f>COUNTIF(G2:G9,"frei")</f>
        <v/>
      </c>
      <c r="C12" s="9" t="n"/>
      <c r="D12" s="9" t="n"/>
      <c r="E12" s="9" t="n"/>
      <c r="F12" s="9" t="n"/>
      <c r="G12" s="9" t="n"/>
      <c r="H12" s="9" t="n"/>
      <c r="I12" s="9" t="n"/>
    </row>
  </sheetData>
  <conditionalFormatting sqref="G2:G9">
    <cfRule type="cellIs" priority="1" operator="equal" dxfId="0">
      <formula>"DOPPELT"</formula>
    </cfRule>
    <cfRule type="cellIs" priority="2" operator="equal" dxfId="2">
      <formula>"frei"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2026-09-23T19:54:36Z</dcterms:created>
  <dcterms:modified xsi:type="dcterms:W3CDTF">2026-09-23T19:54:36Z</dcterms:modified>
</cp:coreProperties>
</file>